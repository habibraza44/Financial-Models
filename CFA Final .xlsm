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2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894\OneDrive\Desktop\CFA Challenge\"/>
    </mc:Choice>
  </mc:AlternateContent>
  <xr:revisionPtr revIDLastSave="0" documentId="8_{8C0C4BAA-D588-4A6E-91D7-9BBC66D6BE5A}" xr6:coauthVersionLast="47" xr6:coauthVersionMax="47" xr10:uidLastSave="{00000000-0000-0000-0000-000000000000}"/>
  <bookViews>
    <workbookView xWindow="-120" yWindow="-120" windowWidth="20730" windowHeight="11040" tabRatio="829" firstSheet="11" activeTab="11" xr2:uid="{5D257CA1-4683-4EEA-9C9A-CA8F5507CB21}"/>
  </bookViews>
  <sheets>
    <sheet name="Index" sheetId="5" r:id="rId1"/>
    <sheet name="Drivers" sheetId="6" r:id="rId2"/>
    <sheet name="Income Statement" sheetId="1" r:id="rId3"/>
    <sheet name="Financial Position" sheetId="2" r:id="rId4"/>
    <sheet name="Cash Flow" sheetId="3" r:id="rId5"/>
    <sheet name="DCF Valuation (2)" sheetId="24" state="hidden" r:id="rId6"/>
    <sheet name="DCF Valuation" sheetId="16" r:id="rId7"/>
    <sheet name="Dividends Based Valuation" sheetId="22" r:id="rId8"/>
    <sheet name="Results" sheetId="25" r:id="rId9"/>
    <sheet name="Changes in Equity" sheetId="4" state="hidden" r:id="rId10"/>
    <sheet name="Workings -&gt;" sheetId="7" r:id="rId11"/>
    <sheet name="Sales" sheetId="8" r:id="rId12"/>
    <sheet name="COGS" sheetId="9" r:id="rId13"/>
    <sheet name="Opex" sheetId="10" r:id="rId14"/>
    <sheet name="OI" sheetId="11" r:id="rId15"/>
    <sheet name="PPE" sheetId="12" r:id="rId16"/>
    <sheet name="WC" sheetId="13" r:id="rId17"/>
    <sheet name="OA" sheetId="14" r:id="rId18"/>
    <sheet name="OL" sheetId="15" r:id="rId19"/>
    <sheet name="Div" sheetId="21" r:id="rId20"/>
    <sheet name="Financing" sheetId="17" r:id="rId21"/>
    <sheet name="CIE" sheetId="18" r:id="rId22"/>
    <sheet name="WACC" sheetId="19" r:id="rId23"/>
  </sheets>
  <definedNames>
    <definedName name="ExternalData_1" localSheetId="8" hidden="1">Results!#REF!</definedName>
    <definedName name="PBT">'Income Statement'!$20:$20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1" l="1"/>
  <c r="E5" i="11"/>
  <c r="F5" i="11"/>
  <c r="G5" i="11"/>
  <c r="C5" i="11"/>
  <c r="C7" i="10"/>
  <c r="D7" i="10"/>
  <c r="E7" i="10"/>
  <c r="F7" i="10"/>
  <c r="G7" i="10"/>
  <c r="C8" i="10"/>
  <c r="D8" i="10"/>
  <c r="E8" i="10"/>
  <c r="F8" i="10"/>
  <c r="G8" i="10"/>
  <c r="D6" i="10"/>
  <c r="E6" i="10"/>
  <c r="F6" i="10"/>
  <c r="G6" i="10"/>
  <c r="C6" i="10"/>
  <c r="D13" i="8"/>
  <c r="E13" i="8"/>
  <c r="F13" i="8"/>
  <c r="G13" i="8"/>
  <c r="C13" i="8"/>
  <c r="C5" i="19" l="1"/>
  <c r="J15" i="8"/>
  <c r="H14" i="13"/>
  <c r="H6" i="9"/>
  <c r="I6" i="9" s="1"/>
  <c r="J6" i="9" s="1"/>
  <c r="K6" i="9" s="1"/>
  <c r="G16" i="8"/>
  <c r="H18" i="8"/>
  <c r="I17" i="8"/>
  <c r="J17" i="8"/>
  <c r="K17" i="8"/>
  <c r="L17" i="8"/>
  <c r="H17" i="8"/>
  <c r="H15" i="8"/>
  <c r="C5" i="25"/>
  <c r="I34" i="1"/>
  <c r="J34" i="1"/>
  <c r="K34" i="1"/>
  <c r="L34" i="1"/>
  <c r="H34" i="1"/>
  <c r="F43" i="16"/>
  <c r="F55" i="24"/>
  <c r="F53" i="24"/>
  <c r="F52" i="24"/>
  <c r="C36" i="24"/>
  <c r="H30" i="24"/>
  <c r="C4" i="16"/>
  <c r="F42" i="16"/>
  <c r="C4" i="22"/>
  <c r="H9" i="22"/>
  <c r="G15" i="19"/>
  <c r="F15" i="19"/>
  <c r="E15" i="19"/>
  <c r="D15" i="19"/>
  <c r="C15" i="19"/>
  <c r="G14" i="19"/>
  <c r="F14" i="19"/>
  <c r="F16" i="19" s="1"/>
  <c r="F18" i="19" s="1"/>
  <c r="E14" i="19"/>
  <c r="D14" i="19"/>
  <c r="C14" i="19"/>
  <c r="C10" i="19"/>
  <c r="K21" i="19" s="1"/>
  <c r="C7" i="19"/>
  <c r="C6" i="19"/>
  <c r="C4" i="19"/>
  <c r="H17" i="18"/>
  <c r="G11" i="18"/>
  <c r="H7" i="18"/>
  <c r="L37" i="17"/>
  <c r="K37" i="17"/>
  <c r="J37" i="17"/>
  <c r="I37" i="17"/>
  <c r="H37" i="17"/>
  <c r="G37" i="17"/>
  <c r="F37" i="17"/>
  <c r="E37" i="17"/>
  <c r="D37" i="17"/>
  <c r="C37" i="17"/>
  <c r="L36" i="17"/>
  <c r="K36" i="17"/>
  <c r="J36" i="17"/>
  <c r="I36" i="17"/>
  <c r="H36" i="17"/>
  <c r="G36" i="17"/>
  <c r="F36" i="17"/>
  <c r="E36" i="17"/>
  <c r="D36" i="17"/>
  <c r="C36" i="17"/>
  <c r="G33" i="17"/>
  <c r="F33" i="17"/>
  <c r="E33" i="17"/>
  <c r="D33" i="17"/>
  <c r="C33" i="17"/>
  <c r="L19" i="17"/>
  <c r="K19" i="17"/>
  <c r="J19" i="17"/>
  <c r="I19" i="17"/>
  <c r="H19" i="17"/>
  <c r="G19" i="17"/>
  <c r="F19" i="17"/>
  <c r="E19" i="17"/>
  <c r="D19" i="17"/>
  <c r="C19" i="17"/>
  <c r="G18" i="17"/>
  <c r="F18" i="17"/>
  <c r="E18" i="17"/>
  <c r="D18" i="17"/>
  <c r="C18" i="17"/>
  <c r="G17" i="17"/>
  <c r="F17" i="17"/>
  <c r="E17" i="17"/>
  <c r="D17" i="17"/>
  <c r="C17" i="17"/>
  <c r="G11" i="17"/>
  <c r="F11" i="17"/>
  <c r="E11" i="17"/>
  <c r="D11" i="17"/>
  <c r="C11" i="17"/>
  <c r="G10" i="17"/>
  <c r="F10" i="17"/>
  <c r="E10" i="17"/>
  <c r="D10" i="17"/>
  <c r="C10" i="17"/>
  <c r="C5" i="17"/>
  <c r="C4" i="17"/>
  <c r="G12" i="15"/>
  <c r="F12" i="15"/>
  <c r="E12" i="15"/>
  <c r="D12" i="15"/>
  <c r="C12" i="15"/>
  <c r="J12" i="15" s="1"/>
  <c r="G11" i="15"/>
  <c r="F11" i="15"/>
  <c r="E11" i="15"/>
  <c r="J11" i="15" s="1"/>
  <c r="D11" i="15"/>
  <c r="C11" i="15"/>
  <c r="L11" i="15" s="1"/>
  <c r="G10" i="15"/>
  <c r="F10" i="15"/>
  <c r="H10" i="15" s="1"/>
  <c r="E10" i="15"/>
  <c r="D10" i="15"/>
  <c r="C10" i="15"/>
  <c r="J10" i="15" s="1"/>
  <c r="G20" i="14"/>
  <c r="F20" i="14"/>
  <c r="E20" i="14"/>
  <c r="D20" i="14"/>
  <c r="C20" i="14"/>
  <c r="K20" i="14" s="1"/>
  <c r="G19" i="14"/>
  <c r="F19" i="14"/>
  <c r="E19" i="14"/>
  <c r="D19" i="14"/>
  <c r="J19" i="14" s="1"/>
  <c r="C19" i="14"/>
  <c r="H19" i="14" s="1"/>
  <c r="G18" i="14"/>
  <c r="F18" i="14"/>
  <c r="E18" i="14"/>
  <c r="K18" i="14" s="1"/>
  <c r="D18" i="14"/>
  <c r="C18" i="14"/>
  <c r="I18" i="14" s="1"/>
  <c r="G17" i="14"/>
  <c r="F17" i="14"/>
  <c r="I17" i="14" s="1"/>
  <c r="E17" i="14"/>
  <c r="D17" i="14"/>
  <c r="C17" i="14"/>
  <c r="J17" i="14" s="1"/>
  <c r="G16" i="14"/>
  <c r="F16" i="14"/>
  <c r="E16" i="14"/>
  <c r="D16" i="14"/>
  <c r="C16" i="14"/>
  <c r="K16" i="14" s="1"/>
  <c r="G15" i="14"/>
  <c r="F15" i="14"/>
  <c r="E15" i="14"/>
  <c r="D15" i="14"/>
  <c r="J15" i="14" s="1"/>
  <c r="C15" i="14"/>
  <c r="H15" i="14" s="1"/>
  <c r="G14" i="14"/>
  <c r="F14" i="14"/>
  <c r="E14" i="14"/>
  <c r="H14" i="14" s="1"/>
  <c r="D14" i="14"/>
  <c r="C14" i="14"/>
  <c r="K14" i="14" s="1"/>
  <c r="L14" i="13"/>
  <c r="K14" i="13"/>
  <c r="J14" i="13"/>
  <c r="I14" i="13"/>
  <c r="F14" i="13"/>
  <c r="G13" i="13"/>
  <c r="G14" i="13" s="1"/>
  <c r="F13" i="13"/>
  <c r="E13" i="13"/>
  <c r="D13" i="13"/>
  <c r="C13" i="13"/>
  <c r="C14" i="13" s="1"/>
  <c r="G12" i="13"/>
  <c r="F12" i="13"/>
  <c r="E12" i="13"/>
  <c r="D12" i="13"/>
  <c r="C12" i="13"/>
  <c r="G11" i="13"/>
  <c r="F11" i="13"/>
  <c r="E11" i="13"/>
  <c r="E14" i="13" s="1"/>
  <c r="D11" i="13"/>
  <c r="D14" i="13" s="1"/>
  <c r="C11" i="13"/>
  <c r="G8" i="13"/>
  <c r="F8" i="13"/>
  <c r="E8" i="13"/>
  <c r="D8" i="13"/>
  <c r="C8" i="13"/>
  <c r="G7" i="13"/>
  <c r="F7" i="13"/>
  <c r="E7" i="13"/>
  <c r="D7" i="13"/>
  <c r="C7" i="13"/>
  <c r="G6" i="13"/>
  <c r="F6" i="13"/>
  <c r="E6" i="13"/>
  <c r="D6" i="13"/>
  <c r="C6" i="13"/>
  <c r="G5" i="13"/>
  <c r="F5" i="13"/>
  <c r="E5" i="13"/>
  <c r="D5" i="13"/>
  <c r="C5" i="13"/>
  <c r="G11" i="12"/>
  <c r="G19" i="12" s="1"/>
  <c r="F11" i="12"/>
  <c r="F20" i="12" s="1"/>
  <c r="E11" i="12"/>
  <c r="D11" i="12"/>
  <c r="D19" i="12" s="1"/>
  <c r="C11" i="12"/>
  <c r="C7" i="12" s="1"/>
  <c r="H6" i="12"/>
  <c r="G6" i="12"/>
  <c r="F6" i="12"/>
  <c r="F7" i="12" s="1"/>
  <c r="E6" i="12"/>
  <c r="D6" i="12"/>
  <c r="G8" i="11"/>
  <c r="F8" i="11"/>
  <c r="E8" i="11"/>
  <c r="D8" i="11"/>
  <c r="C8" i="11"/>
  <c r="G14" i="10"/>
  <c r="F14" i="10"/>
  <c r="E14" i="10"/>
  <c r="D14" i="10"/>
  <c r="C14" i="10"/>
  <c r="G13" i="10"/>
  <c r="F13" i="10"/>
  <c r="E13" i="10"/>
  <c r="D13" i="10"/>
  <c r="C13" i="10"/>
  <c r="G12" i="10"/>
  <c r="F12" i="10"/>
  <c r="E12" i="10"/>
  <c r="L12" i="10" s="1"/>
  <c r="D12" i="10"/>
  <c r="C12" i="10"/>
  <c r="G9" i="10"/>
  <c r="F9" i="10"/>
  <c r="E9" i="10"/>
  <c r="D9" i="10"/>
  <c r="C9" i="10"/>
  <c r="G13" i="9"/>
  <c r="F13" i="9"/>
  <c r="E13" i="9"/>
  <c r="D13" i="9"/>
  <c r="C13" i="9"/>
  <c r="G11" i="9"/>
  <c r="F11" i="9"/>
  <c r="E11" i="9"/>
  <c r="D11" i="9"/>
  <c r="C11" i="9"/>
  <c r="G10" i="9"/>
  <c r="F10" i="9"/>
  <c r="E10" i="9"/>
  <c r="D10" i="9"/>
  <c r="C10" i="9"/>
  <c r="G18" i="8"/>
  <c r="F18" i="8"/>
  <c r="E18" i="8"/>
  <c r="D18" i="8"/>
  <c r="C18" i="8"/>
  <c r="G17" i="8"/>
  <c r="F17" i="8"/>
  <c r="E17" i="8"/>
  <c r="D17" i="8"/>
  <c r="C17" i="8"/>
  <c r="F16" i="8"/>
  <c r="E16" i="8"/>
  <c r="D16" i="8"/>
  <c r="G15" i="8"/>
  <c r="F15" i="8"/>
  <c r="E15" i="8"/>
  <c r="D15" i="8"/>
  <c r="G12" i="8"/>
  <c r="F12" i="8"/>
  <c r="E12" i="8"/>
  <c r="D12" i="8"/>
  <c r="C12" i="8"/>
  <c r="H11" i="8"/>
  <c r="H10" i="8"/>
  <c r="G8" i="8"/>
  <c r="F8" i="8"/>
  <c r="E8" i="8"/>
  <c r="D8" i="8"/>
  <c r="C8" i="8"/>
  <c r="H7" i="8"/>
  <c r="I7" i="8" s="1"/>
  <c r="H6" i="8"/>
  <c r="I6" i="8" s="1"/>
  <c r="G5" i="21"/>
  <c r="F5" i="21"/>
  <c r="E5" i="21"/>
  <c r="D5" i="21"/>
  <c r="C5" i="21"/>
  <c r="G29" i="4"/>
  <c r="F29" i="4"/>
  <c r="E29" i="4"/>
  <c r="D29" i="4"/>
  <c r="C29" i="4"/>
  <c r="G28" i="4"/>
  <c r="G27" i="4"/>
  <c r="G26" i="4"/>
  <c r="G25" i="4"/>
  <c r="G24" i="4"/>
  <c r="G23" i="4"/>
  <c r="G22" i="4"/>
  <c r="F22" i="4"/>
  <c r="G21" i="4"/>
  <c r="G20" i="4"/>
  <c r="G18" i="4"/>
  <c r="F18" i="4"/>
  <c r="E18" i="4"/>
  <c r="D18" i="4"/>
  <c r="C18" i="4"/>
  <c r="G17" i="4"/>
  <c r="G16" i="4"/>
  <c r="G15" i="4"/>
  <c r="G13" i="4"/>
  <c r="G12" i="4"/>
  <c r="F12" i="4"/>
  <c r="G11" i="4"/>
  <c r="G10" i="4"/>
  <c r="G8" i="4"/>
  <c r="H79" i="3"/>
  <c r="G79" i="3"/>
  <c r="G75" i="3"/>
  <c r="F75" i="3"/>
  <c r="E75" i="3"/>
  <c r="D75" i="3"/>
  <c r="C75" i="3"/>
  <c r="G64" i="3"/>
  <c r="F64" i="3"/>
  <c r="E64" i="3"/>
  <c r="D64" i="3"/>
  <c r="C64" i="3"/>
  <c r="L60" i="3"/>
  <c r="K60" i="3"/>
  <c r="J60" i="3"/>
  <c r="I60" i="3"/>
  <c r="H60" i="3"/>
  <c r="G44" i="3"/>
  <c r="F44" i="3"/>
  <c r="E44" i="3"/>
  <c r="D44" i="3"/>
  <c r="C44" i="3"/>
  <c r="G54" i="2"/>
  <c r="F54" i="2"/>
  <c r="E54" i="2"/>
  <c r="D54" i="2"/>
  <c r="C54" i="2"/>
  <c r="G52" i="2"/>
  <c r="F52" i="2"/>
  <c r="E52" i="2"/>
  <c r="D52" i="2"/>
  <c r="C52" i="2"/>
  <c r="G51" i="2"/>
  <c r="F51" i="2"/>
  <c r="E51" i="2"/>
  <c r="D51" i="2"/>
  <c r="C51" i="2"/>
  <c r="L50" i="2"/>
  <c r="K50" i="2"/>
  <c r="J50" i="2"/>
  <c r="I50" i="2"/>
  <c r="H50" i="2"/>
  <c r="G49" i="2"/>
  <c r="F49" i="2"/>
  <c r="E49" i="2"/>
  <c r="D49" i="2"/>
  <c r="C49" i="2"/>
  <c r="L47" i="2"/>
  <c r="K47" i="2"/>
  <c r="J47" i="2"/>
  <c r="I47" i="2"/>
  <c r="H47" i="2"/>
  <c r="L44" i="2"/>
  <c r="K44" i="2"/>
  <c r="J44" i="2"/>
  <c r="I44" i="2"/>
  <c r="H44" i="2"/>
  <c r="G41" i="2"/>
  <c r="F41" i="2"/>
  <c r="E41" i="2"/>
  <c r="D41" i="2"/>
  <c r="C41" i="2"/>
  <c r="L39" i="2"/>
  <c r="K39" i="2"/>
  <c r="J39" i="2"/>
  <c r="I39" i="2"/>
  <c r="H39" i="2"/>
  <c r="G36" i="2"/>
  <c r="F36" i="2"/>
  <c r="E36" i="2"/>
  <c r="D36" i="2"/>
  <c r="C36" i="2"/>
  <c r="L32" i="2"/>
  <c r="K32" i="2"/>
  <c r="J32" i="2"/>
  <c r="I32" i="2"/>
  <c r="H32" i="2"/>
  <c r="G28" i="2"/>
  <c r="F28" i="2"/>
  <c r="E28" i="2"/>
  <c r="D28" i="2"/>
  <c r="C28" i="2"/>
  <c r="G26" i="2"/>
  <c r="F26" i="2"/>
  <c r="E26" i="2"/>
  <c r="D26" i="2"/>
  <c r="C26" i="2"/>
  <c r="L24" i="2"/>
  <c r="K24" i="2"/>
  <c r="J24" i="2"/>
  <c r="I24" i="2"/>
  <c r="H24" i="2"/>
  <c r="L21" i="2"/>
  <c r="K21" i="2"/>
  <c r="J21" i="2"/>
  <c r="I21" i="2"/>
  <c r="H21" i="2"/>
  <c r="G14" i="2"/>
  <c r="F14" i="2"/>
  <c r="E14" i="2"/>
  <c r="D14" i="2"/>
  <c r="C14" i="2"/>
  <c r="L11" i="2"/>
  <c r="K11" i="2"/>
  <c r="J11" i="2"/>
  <c r="I11" i="2"/>
  <c r="H11" i="2"/>
  <c r="L10" i="2"/>
  <c r="K10" i="2"/>
  <c r="J10" i="2"/>
  <c r="I10" i="2"/>
  <c r="H10" i="2"/>
  <c r="G17" i="1"/>
  <c r="G20" i="1" s="1"/>
  <c r="C17" i="1"/>
  <c r="C20" i="1" s="1"/>
  <c r="G15" i="1"/>
  <c r="F15" i="1"/>
  <c r="E15" i="1"/>
  <c r="D15" i="1"/>
  <c r="D17" i="1" s="1"/>
  <c r="D20" i="1" s="1"/>
  <c r="D23" i="1" s="1"/>
  <c r="D31" i="1" s="1"/>
  <c r="D35" i="1" s="1"/>
  <c r="D7" i="21" s="1"/>
  <c r="C15" i="1"/>
  <c r="G9" i="1"/>
  <c r="F9" i="1"/>
  <c r="E9" i="1"/>
  <c r="D9" i="1"/>
  <c r="C9" i="1"/>
  <c r="H8" i="11" l="1"/>
  <c r="J8" i="11"/>
  <c r="J14" i="10"/>
  <c r="K12" i="10"/>
  <c r="J12" i="10"/>
  <c r="K14" i="10"/>
  <c r="H12" i="10"/>
  <c r="I12" i="10"/>
  <c r="H13" i="10"/>
  <c r="K13" i="10"/>
  <c r="J13" i="10"/>
  <c r="L14" i="10"/>
  <c r="H14" i="10"/>
  <c r="I13" i="10"/>
  <c r="I14" i="10"/>
  <c r="L13" i="10"/>
  <c r="I8" i="11"/>
  <c r="K12" i="15"/>
  <c r="J14" i="14"/>
  <c r="K19" i="14"/>
  <c r="H18" i="14"/>
  <c r="J16" i="14"/>
  <c r="K15" i="14"/>
  <c r="E17" i="1"/>
  <c r="E20" i="1" s="1"/>
  <c r="E8" i="3" s="1"/>
  <c r="E29" i="3" s="1"/>
  <c r="E45" i="3" s="1"/>
  <c r="E55" i="3" s="1"/>
  <c r="E77" i="3" s="1"/>
  <c r="E80" i="3" s="1"/>
  <c r="L10" i="15"/>
  <c r="H12" i="15"/>
  <c r="I14" i="14"/>
  <c r="L17" i="14"/>
  <c r="I16" i="14"/>
  <c r="F17" i="1"/>
  <c r="F20" i="1" s="1"/>
  <c r="F23" i="1" s="1"/>
  <c r="F31" i="1" s="1"/>
  <c r="F35" i="1" s="1"/>
  <c r="F7" i="21" s="1"/>
  <c r="K8" i="11"/>
  <c r="I10" i="15"/>
  <c r="K11" i="15"/>
  <c r="I12" i="15"/>
  <c r="L14" i="14"/>
  <c r="L20" i="14"/>
  <c r="H20" i="14"/>
  <c r="I19" i="14"/>
  <c r="J18" i="14"/>
  <c r="K17" i="14"/>
  <c r="L16" i="14"/>
  <c r="H16" i="14"/>
  <c r="I15" i="14"/>
  <c r="K10" i="15"/>
  <c r="I11" i="15"/>
  <c r="J20" i="14"/>
  <c r="L18" i="14"/>
  <c r="L12" i="15"/>
  <c r="I20" i="14"/>
  <c r="H17" i="14"/>
  <c r="L8" i="11"/>
  <c r="H11" i="15"/>
  <c r="L19" i="14"/>
  <c r="L15" i="14"/>
  <c r="C23" i="1"/>
  <c r="C31" i="1" s="1"/>
  <c r="C35" i="1" s="1"/>
  <c r="C7" i="21" s="1"/>
  <c r="C8" i="3"/>
  <c r="C29" i="3" s="1"/>
  <c r="C45" i="3" s="1"/>
  <c r="C55" i="3" s="1"/>
  <c r="C77" i="3" s="1"/>
  <c r="C80" i="3" s="1"/>
  <c r="G8" i="3"/>
  <c r="G29" i="3" s="1"/>
  <c r="G45" i="3" s="1"/>
  <c r="G55" i="3" s="1"/>
  <c r="G77" i="3" s="1"/>
  <c r="G80" i="3" s="1"/>
  <c r="G23" i="1"/>
  <c r="G31" i="1" s="1"/>
  <c r="G35" i="1" s="1"/>
  <c r="G7" i="21" s="1"/>
  <c r="E23" i="1"/>
  <c r="E31" i="1" s="1"/>
  <c r="E35" i="1" s="1"/>
  <c r="E7" i="21" s="1"/>
  <c r="F8" i="3"/>
  <c r="F29" i="3" s="1"/>
  <c r="F45" i="3" s="1"/>
  <c r="F55" i="3" s="1"/>
  <c r="F77" i="3" s="1"/>
  <c r="F80" i="3" s="1"/>
  <c r="D8" i="3"/>
  <c r="D29" i="3" s="1"/>
  <c r="D45" i="3" s="1"/>
  <c r="D55" i="3" s="1"/>
  <c r="D77" i="3" s="1"/>
  <c r="D80" i="3" s="1"/>
  <c r="E7" i="12"/>
  <c r="E16" i="12" s="1"/>
  <c r="G7" i="12"/>
  <c r="G16" i="12" s="1"/>
  <c r="D7" i="12"/>
  <c r="D16" i="12" s="1"/>
  <c r="F19" i="12"/>
  <c r="E15" i="12"/>
  <c r="E19" i="12"/>
  <c r="C16" i="12"/>
  <c r="F16" i="12"/>
  <c r="F15" i="12"/>
  <c r="C18" i="12"/>
  <c r="C20" i="12"/>
  <c r="G20" i="12"/>
  <c r="G15" i="12"/>
  <c r="D18" i="12"/>
  <c r="G18" i="12"/>
  <c r="C15" i="12"/>
  <c r="D15" i="12"/>
  <c r="E18" i="12"/>
  <c r="C19" i="12"/>
  <c r="E20" i="12"/>
  <c r="D20" i="12"/>
  <c r="F18" i="12"/>
  <c r="L6" i="9"/>
  <c r="H12" i="8"/>
  <c r="J7" i="8"/>
  <c r="I11" i="8"/>
  <c r="J11" i="8" s="1"/>
  <c r="I10" i="8"/>
  <c r="H8" i="8"/>
  <c r="J6" i="8"/>
  <c r="I8" i="8"/>
  <c r="L21" i="19"/>
  <c r="E16" i="19"/>
  <c r="H21" i="19"/>
  <c r="F19" i="19"/>
  <c r="I21" i="19"/>
  <c r="E19" i="19"/>
  <c r="E18" i="19"/>
  <c r="C16" i="19"/>
  <c r="C19" i="19" s="1"/>
  <c r="D16" i="19"/>
  <c r="D19" i="19" s="1"/>
  <c r="J21" i="19"/>
  <c r="G16" i="19"/>
  <c r="G19" i="19" s="1"/>
  <c r="C9" i="19"/>
  <c r="K22" i="19" s="1"/>
  <c r="K16" i="12" l="1"/>
  <c r="H16" i="12"/>
  <c r="H7" i="12" s="1"/>
  <c r="L16" i="12"/>
  <c r="I16" i="12"/>
  <c r="J16" i="12"/>
  <c r="J15" i="12"/>
  <c r="K15" i="12"/>
  <c r="H15" i="12"/>
  <c r="L15" i="12"/>
  <c r="I15" i="12"/>
  <c r="L19" i="12"/>
  <c r="H19" i="12"/>
  <c r="K19" i="12"/>
  <c r="I19" i="12"/>
  <c r="J19" i="12"/>
  <c r="J20" i="12"/>
  <c r="I20" i="12"/>
  <c r="H20" i="12"/>
  <c r="K20" i="12"/>
  <c r="L20" i="12"/>
  <c r="J18" i="12"/>
  <c r="H18" i="12"/>
  <c r="K18" i="12"/>
  <c r="I18" i="12"/>
  <c r="L18" i="12"/>
  <c r="K7" i="8"/>
  <c r="L7" i="8" s="1"/>
  <c r="H13" i="8"/>
  <c r="H7" i="1" s="1"/>
  <c r="H6" i="14" s="1"/>
  <c r="H13" i="2" s="1"/>
  <c r="H51" i="3" s="1"/>
  <c r="H6" i="10"/>
  <c r="H12" i="1" s="1"/>
  <c r="H11" i="14"/>
  <c r="H23" i="2" s="1"/>
  <c r="H40" i="3" s="1"/>
  <c r="H59" i="3"/>
  <c r="H64" i="3" s="1"/>
  <c r="H5" i="11"/>
  <c r="H16" i="1" s="1"/>
  <c r="H8" i="10"/>
  <c r="H14" i="1" s="1"/>
  <c r="H7" i="10"/>
  <c r="H13" i="1" s="1"/>
  <c r="K11" i="8"/>
  <c r="J10" i="8"/>
  <c r="I12" i="8"/>
  <c r="I13" i="8" s="1"/>
  <c r="H5" i="14"/>
  <c r="H12" i="2" s="1"/>
  <c r="H50" i="3" s="1"/>
  <c r="H7" i="15"/>
  <c r="H46" i="2" s="1"/>
  <c r="H70" i="3" s="1"/>
  <c r="H7" i="14"/>
  <c r="H16" i="2" s="1"/>
  <c r="H32" i="3" s="1"/>
  <c r="H5" i="13"/>
  <c r="H18" i="2" s="1"/>
  <c r="H18" i="16" s="1"/>
  <c r="H6" i="15"/>
  <c r="H45" i="2" s="1"/>
  <c r="H38" i="3" s="1"/>
  <c r="H10" i="14"/>
  <c r="H22" i="2" s="1"/>
  <c r="H37" i="3" s="1"/>
  <c r="H8" i="14"/>
  <c r="H19" i="2" s="1"/>
  <c r="H35" i="3" s="1"/>
  <c r="H9" i="14"/>
  <c r="H20" i="2" s="1"/>
  <c r="H36" i="3" s="1"/>
  <c r="H5" i="15"/>
  <c r="H40" i="2" s="1"/>
  <c r="J8" i="8"/>
  <c r="K6" i="8"/>
  <c r="C3" i="22"/>
  <c r="J12" i="22" s="1"/>
  <c r="I22" i="19"/>
  <c r="G18" i="19"/>
  <c r="J22" i="19"/>
  <c r="C18" i="19"/>
  <c r="H22" i="19"/>
  <c r="L22" i="19"/>
  <c r="D18" i="19"/>
  <c r="H11" i="12" l="1"/>
  <c r="H16" i="16" s="1"/>
  <c r="H8" i="12"/>
  <c r="H13" i="16" s="1"/>
  <c r="L11" i="8"/>
  <c r="H21" i="24"/>
  <c r="H9" i="10"/>
  <c r="H34" i="3"/>
  <c r="H15" i="1"/>
  <c r="H19" i="24"/>
  <c r="H15" i="24"/>
  <c r="H22" i="16"/>
  <c r="H39" i="3"/>
  <c r="H10" i="12"/>
  <c r="H12" i="3" s="1"/>
  <c r="H10" i="9"/>
  <c r="H11" i="9" s="1"/>
  <c r="H8" i="1" s="1"/>
  <c r="H24" i="16"/>
  <c r="H9" i="12"/>
  <c r="H14" i="16" s="1"/>
  <c r="H13" i="24"/>
  <c r="I7" i="10"/>
  <c r="I13" i="1" s="1"/>
  <c r="I6" i="10"/>
  <c r="I12" i="1" s="1"/>
  <c r="I8" i="10"/>
  <c r="I14" i="1" s="1"/>
  <c r="I7" i="1"/>
  <c r="I5" i="13" s="1"/>
  <c r="I18" i="2" s="1"/>
  <c r="K10" i="8"/>
  <c r="J12" i="8"/>
  <c r="J13" i="8" s="1"/>
  <c r="J7" i="1" s="1"/>
  <c r="H20" i="24"/>
  <c r="H23" i="16"/>
  <c r="K8" i="8"/>
  <c r="L6" i="8"/>
  <c r="L8" i="8" s="1"/>
  <c r="L12" i="22"/>
  <c r="H12" i="22"/>
  <c r="C18" i="22"/>
  <c r="I12" i="22"/>
  <c r="K12" i="22"/>
  <c r="H12" i="12" l="1"/>
  <c r="I6" i="12" s="1"/>
  <c r="I7" i="12" s="1"/>
  <c r="I19" i="24" s="1"/>
  <c r="H10" i="3"/>
  <c r="H11" i="3"/>
  <c r="H15" i="16"/>
  <c r="H7" i="13"/>
  <c r="H43" i="2" s="1"/>
  <c r="H9" i="1"/>
  <c r="H17" i="1" s="1"/>
  <c r="H6" i="13"/>
  <c r="I9" i="10"/>
  <c r="I5" i="14"/>
  <c r="I12" i="2" s="1"/>
  <c r="I50" i="3" s="1"/>
  <c r="I5" i="11"/>
  <c r="I16" i="1" s="1"/>
  <c r="I8" i="14"/>
  <c r="I19" i="2" s="1"/>
  <c r="I35" i="3" s="1"/>
  <c r="I9" i="14"/>
  <c r="I20" i="2" s="1"/>
  <c r="I36" i="3" s="1"/>
  <c r="I7" i="14"/>
  <c r="I16" i="2" s="1"/>
  <c r="I32" i="3" s="1"/>
  <c r="I10" i="14"/>
  <c r="I22" i="2" s="1"/>
  <c r="I37" i="3" s="1"/>
  <c r="I6" i="15"/>
  <c r="I45" i="2" s="1"/>
  <c r="I38" i="3" s="1"/>
  <c r="I5" i="15"/>
  <c r="I40" i="2" s="1"/>
  <c r="I7" i="15"/>
  <c r="I46" i="2" s="1"/>
  <c r="I70" i="3" s="1"/>
  <c r="I6" i="14"/>
  <c r="I13" i="2" s="1"/>
  <c r="I51" i="3" s="1"/>
  <c r="I11" i="14"/>
  <c r="I23" i="2" s="1"/>
  <c r="I40" i="3" s="1"/>
  <c r="J6" i="10"/>
  <c r="J12" i="1" s="1"/>
  <c r="J7" i="10"/>
  <c r="J13" i="1" s="1"/>
  <c r="K12" i="8"/>
  <c r="K13" i="8" s="1"/>
  <c r="L10" i="8"/>
  <c r="L12" i="8" s="1"/>
  <c r="L13" i="8" s="1"/>
  <c r="J8" i="10"/>
  <c r="J14" i="1" s="1"/>
  <c r="I15" i="1"/>
  <c r="I15" i="24"/>
  <c r="I18" i="16"/>
  <c r="I34" i="3"/>
  <c r="J7" i="15"/>
  <c r="J46" i="2" s="1"/>
  <c r="J8" i="14"/>
  <c r="J19" i="2" s="1"/>
  <c r="J6" i="15"/>
  <c r="J45" i="2" s="1"/>
  <c r="J11" i="14"/>
  <c r="J23" i="2" s="1"/>
  <c r="J7" i="14"/>
  <c r="J16" i="2" s="1"/>
  <c r="J5" i="11"/>
  <c r="J16" i="1" s="1"/>
  <c r="J5" i="15"/>
  <c r="J40" i="2" s="1"/>
  <c r="J10" i="14"/>
  <c r="J22" i="2" s="1"/>
  <c r="J6" i="14"/>
  <c r="J13" i="2" s="1"/>
  <c r="J9" i="14"/>
  <c r="J20" i="2" s="1"/>
  <c r="J5" i="14"/>
  <c r="J12" i="2" s="1"/>
  <c r="J5" i="13"/>
  <c r="J18" i="2" s="1"/>
  <c r="I11" i="12" l="1"/>
  <c r="H9" i="2"/>
  <c r="H14" i="2" s="1"/>
  <c r="I22" i="16"/>
  <c r="I59" i="3"/>
  <c r="I64" i="3" s="1"/>
  <c r="J32" i="3"/>
  <c r="J37" i="3"/>
  <c r="J70" i="3"/>
  <c r="J38" i="3"/>
  <c r="J51" i="3"/>
  <c r="I23" i="16"/>
  <c r="J15" i="1"/>
  <c r="I24" i="16"/>
  <c r="J36" i="3"/>
  <c r="I39" i="3"/>
  <c r="H17" i="2"/>
  <c r="H8" i="13"/>
  <c r="H6" i="24"/>
  <c r="H7" i="24" s="1"/>
  <c r="H8" i="24" s="1"/>
  <c r="H14" i="24" s="1"/>
  <c r="H9" i="16"/>
  <c r="H10" i="16" s="1"/>
  <c r="H11" i="16" s="1"/>
  <c r="H17" i="16" s="1"/>
  <c r="H17" i="24"/>
  <c r="H43" i="3"/>
  <c r="H20" i="16"/>
  <c r="I21" i="24"/>
  <c r="J35" i="3"/>
  <c r="I20" i="24"/>
  <c r="J40" i="3"/>
  <c r="L7" i="1"/>
  <c r="L5" i="15" s="1"/>
  <c r="L40" i="2" s="1"/>
  <c r="L7" i="10"/>
  <c r="L13" i="1" s="1"/>
  <c r="L6" i="10"/>
  <c r="L12" i="1" s="1"/>
  <c r="L8" i="10"/>
  <c r="L14" i="1" s="1"/>
  <c r="K7" i="10"/>
  <c r="K13" i="1" s="1"/>
  <c r="K6" i="10"/>
  <c r="K12" i="1" s="1"/>
  <c r="K7" i="1"/>
  <c r="K7" i="14" s="1"/>
  <c r="K16" i="2" s="1"/>
  <c r="K32" i="3" s="1"/>
  <c r="K8" i="10"/>
  <c r="K14" i="1" s="1"/>
  <c r="J9" i="10"/>
  <c r="J15" i="24"/>
  <c r="J18" i="16"/>
  <c r="J34" i="3"/>
  <c r="I8" i="12"/>
  <c r="I10" i="12"/>
  <c r="I16" i="16"/>
  <c r="I13" i="24"/>
  <c r="I9" i="12"/>
  <c r="I10" i="9"/>
  <c r="I11" i="9" s="1"/>
  <c r="I8" i="1" s="1"/>
  <c r="K5" i="14"/>
  <c r="K12" i="2" s="1"/>
  <c r="J20" i="24"/>
  <c r="J23" i="16"/>
  <c r="J50" i="3"/>
  <c r="J39" i="3"/>
  <c r="J21" i="24"/>
  <c r="J24" i="16"/>
  <c r="I12" i="12"/>
  <c r="L8" i="14" l="1"/>
  <c r="L19" i="2" s="1"/>
  <c r="K5" i="15"/>
  <c r="K40" i="2" s="1"/>
  <c r="K39" i="3" s="1"/>
  <c r="K6" i="15"/>
  <c r="K45" i="2" s="1"/>
  <c r="K38" i="3" s="1"/>
  <c r="L10" i="14"/>
  <c r="L22" i="2" s="1"/>
  <c r="L6" i="15"/>
  <c r="L45" i="2" s="1"/>
  <c r="L5" i="13"/>
  <c r="L18" i="2" s="1"/>
  <c r="L5" i="11"/>
  <c r="L16" i="1" s="1"/>
  <c r="L9" i="14"/>
  <c r="L20" i="2" s="1"/>
  <c r="K5" i="13"/>
  <c r="K18" i="2" s="1"/>
  <c r="K11" i="14"/>
  <c r="K23" i="2" s="1"/>
  <c r="K40" i="3" s="1"/>
  <c r="L11" i="14"/>
  <c r="L23" i="2" s="1"/>
  <c r="L7" i="15"/>
  <c r="L46" i="2" s="1"/>
  <c r="L6" i="14"/>
  <c r="L13" i="2" s="1"/>
  <c r="K10" i="14"/>
  <c r="K22" i="2" s="1"/>
  <c r="K37" i="3" s="1"/>
  <c r="L7" i="14"/>
  <c r="L16" i="2" s="1"/>
  <c r="L32" i="3" s="1"/>
  <c r="L5" i="14"/>
  <c r="L12" i="2" s="1"/>
  <c r="L50" i="3" s="1"/>
  <c r="K8" i="14"/>
  <c r="K19" i="2" s="1"/>
  <c r="K35" i="3" s="1"/>
  <c r="K9" i="14"/>
  <c r="K20" i="2" s="1"/>
  <c r="K36" i="3" s="1"/>
  <c r="K5" i="11"/>
  <c r="K16" i="1" s="1"/>
  <c r="K7" i="15"/>
  <c r="K46" i="2" s="1"/>
  <c r="K70" i="3" s="1"/>
  <c r="K6" i="14"/>
  <c r="K13" i="2" s="1"/>
  <c r="K51" i="3" s="1"/>
  <c r="H33" i="3"/>
  <c r="H44" i="3" s="1"/>
  <c r="H16" i="24"/>
  <c r="H18" i="24" s="1"/>
  <c r="H22" i="24" s="1"/>
  <c r="H40" i="24" s="1"/>
  <c r="H19" i="16"/>
  <c r="H21" i="16" s="1"/>
  <c r="H25" i="16" s="1"/>
  <c r="K15" i="1"/>
  <c r="K9" i="10"/>
  <c r="L15" i="1"/>
  <c r="L9" i="10"/>
  <c r="J6" i="12"/>
  <c r="J7" i="12" s="1"/>
  <c r="I9" i="2"/>
  <c r="I14" i="2" s="1"/>
  <c r="K50" i="3"/>
  <c r="I14" i="16"/>
  <c r="I11" i="3"/>
  <c r="I13" i="16"/>
  <c r="I10" i="3"/>
  <c r="I6" i="13"/>
  <c r="I9" i="1"/>
  <c r="I17" i="1" s="1"/>
  <c r="I7" i="13"/>
  <c r="I43" i="2" s="1"/>
  <c r="I12" i="3"/>
  <c r="I15" i="16"/>
  <c r="L39" i="3"/>
  <c r="J11" i="12" l="1"/>
  <c r="L35" i="3"/>
  <c r="L37" i="3"/>
  <c r="L15" i="24"/>
  <c r="L40" i="3"/>
  <c r="L24" i="16"/>
  <c r="L38" i="3"/>
  <c r="L34" i="3"/>
  <c r="K18" i="16"/>
  <c r="L51" i="3"/>
  <c r="L20" i="24"/>
  <c r="L36" i="3"/>
  <c r="L18" i="16"/>
  <c r="K20" i="24"/>
  <c r="K15" i="24"/>
  <c r="K23" i="16"/>
  <c r="L23" i="16"/>
  <c r="K34" i="3"/>
  <c r="K24" i="16"/>
  <c r="L21" i="24"/>
  <c r="K21" i="24"/>
  <c r="L70" i="3"/>
  <c r="H32" i="16"/>
  <c r="H24" i="17"/>
  <c r="H25" i="17" s="1"/>
  <c r="I17" i="2"/>
  <c r="I8" i="13"/>
  <c r="I43" i="3"/>
  <c r="I17" i="24"/>
  <c r="I20" i="16"/>
  <c r="I9" i="16"/>
  <c r="I10" i="16" s="1"/>
  <c r="I11" i="16" s="1"/>
  <c r="I17" i="16" s="1"/>
  <c r="I6" i="24"/>
  <c r="I7" i="24" s="1"/>
  <c r="I8" i="24" s="1"/>
  <c r="I14" i="24" s="1"/>
  <c r="J59" i="3" l="1"/>
  <c r="J64" i="3" s="1"/>
  <c r="J22" i="16"/>
  <c r="J19" i="24"/>
  <c r="J10" i="12"/>
  <c r="J10" i="9"/>
  <c r="J11" i="9" s="1"/>
  <c r="J8" i="1" s="1"/>
  <c r="J9" i="12"/>
  <c r="J13" i="24"/>
  <c r="J16" i="16"/>
  <c r="J8" i="12"/>
  <c r="J12" i="12"/>
  <c r="H26" i="17"/>
  <c r="I19" i="16"/>
  <c r="I21" i="16" s="1"/>
  <c r="I25" i="16" s="1"/>
  <c r="I33" i="3"/>
  <c r="I44" i="3" s="1"/>
  <c r="I16" i="24"/>
  <c r="I18" i="24" s="1"/>
  <c r="I22" i="24" s="1"/>
  <c r="I40" i="24" s="1"/>
  <c r="J15" i="16" l="1"/>
  <c r="J12" i="3"/>
  <c r="J9" i="2"/>
  <c r="J14" i="2" s="1"/>
  <c r="K6" i="12"/>
  <c r="K7" i="12" s="1"/>
  <c r="J14" i="16"/>
  <c r="J11" i="3"/>
  <c r="J13" i="16"/>
  <c r="J10" i="3"/>
  <c r="J6" i="13"/>
  <c r="J9" i="1"/>
  <c r="J17" i="1" s="1"/>
  <c r="J7" i="13"/>
  <c r="J43" i="2" s="1"/>
  <c r="H71" i="3"/>
  <c r="H9" i="18"/>
  <c r="H27" i="17"/>
  <c r="H17" i="17"/>
  <c r="I32" i="16"/>
  <c r="I24" i="17"/>
  <c r="K11" i="12" l="1"/>
  <c r="J43" i="3"/>
  <c r="J17" i="24"/>
  <c r="J20" i="16"/>
  <c r="J9" i="16"/>
  <c r="J10" i="16" s="1"/>
  <c r="J11" i="16" s="1"/>
  <c r="J17" i="16" s="1"/>
  <c r="J6" i="24"/>
  <c r="J7" i="24" s="1"/>
  <c r="J8" i="24" s="1"/>
  <c r="J14" i="24" s="1"/>
  <c r="J17" i="2"/>
  <c r="J8" i="13"/>
  <c r="H18" i="17"/>
  <c r="H33" i="17"/>
  <c r="I26" i="17"/>
  <c r="I25" i="17"/>
  <c r="K22" i="16" l="1"/>
  <c r="K19" i="24"/>
  <c r="K59" i="3"/>
  <c r="K64" i="3" s="1"/>
  <c r="K16" i="16"/>
  <c r="K8" i="12"/>
  <c r="K10" i="9"/>
  <c r="K11" i="9" s="1"/>
  <c r="K8" i="1" s="1"/>
  <c r="K13" i="24"/>
  <c r="K9" i="12"/>
  <c r="K10" i="12"/>
  <c r="J19" i="16"/>
  <c r="J21" i="16" s="1"/>
  <c r="J25" i="16" s="1"/>
  <c r="J33" i="3"/>
  <c r="J44" i="3" s="1"/>
  <c r="J16" i="24"/>
  <c r="J18" i="24" s="1"/>
  <c r="J22" i="24" s="1"/>
  <c r="J40" i="24" s="1"/>
  <c r="K12" i="12"/>
  <c r="H32" i="17"/>
  <c r="H48" i="2" s="1"/>
  <c r="H49" i="2" s="1"/>
  <c r="H31" i="17"/>
  <c r="H38" i="2" s="1"/>
  <c r="H19" i="1"/>
  <c r="H24" i="24"/>
  <c r="I17" i="17"/>
  <c r="I27" i="17"/>
  <c r="I9" i="18"/>
  <c r="I71" i="3"/>
  <c r="K9" i="1" l="1"/>
  <c r="K17" i="1" s="1"/>
  <c r="K7" i="13"/>
  <c r="K43" i="2" s="1"/>
  <c r="K6" i="13"/>
  <c r="J32" i="16"/>
  <c r="J24" i="17"/>
  <c r="K9" i="2"/>
  <c r="K14" i="2" s="1"/>
  <c r="L6" i="12"/>
  <c r="L7" i="12" s="1"/>
  <c r="K15" i="16"/>
  <c r="K12" i="3"/>
  <c r="K13" i="16"/>
  <c r="K10" i="3"/>
  <c r="K11" i="3"/>
  <c r="K14" i="16"/>
  <c r="H20" i="1"/>
  <c r="H22" i="1" s="1"/>
  <c r="H28" i="3"/>
  <c r="H46" i="3" s="1"/>
  <c r="H41" i="2"/>
  <c r="H51" i="2" s="1"/>
  <c r="H14" i="19" s="1"/>
  <c r="H67" i="3"/>
  <c r="H25" i="24"/>
  <c r="I33" i="17"/>
  <c r="I18" i="17"/>
  <c r="L11" i="12" l="1"/>
  <c r="K8" i="13"/>
  <c r="K17" i="2"/>
  <c r="K20" i="16"/>
  <c r="K17" i="24"/>
  <c r="K43" i="3"/>
  <c r="J26" i="17"/>
  <c r="J25" i="17"/>
  <c r="K6" i="24"/>
  <c r="K7" i="24" s="1"/>
  <c r="K8" i="24" s="1"/>
  <c r="K14" i="24" s="1"/>
  <c r="K9" i="16"/>
  <c r="K10" i="16" s="1"/>
  <c r="K11" i="16" s="1"/>
  <c r="K17" i="16" s="1"/>
  <c r="H8" i="3"/>
  <c r="H29" i="3" s="1"/>
  <c r="H45" i="3" s="1"/>
  <c r="I19" i="1"/>
  <c r="I24" i="24"/>
  <c r="I32" i="17"/>
  <c r="I31" i="17"/>
  <c r="I38" i="2" s="1"/>
  <c r="L12" i="12" l="1"/>
  <c r="L9" i="2" s="1"/>
  <c r="L14" i="2" s="1"/>
  <c r="L8" i="12"/>
  <c r="L9" i="12"/>
  <c r="L16" i="16"/>
  <c r="L10" i="9"/>
  <c r="L11" i="9" s="1"/>
  <c r="L8" i="1" s="1"/>
  <c r="L13" i="24"/>
  <c r="L10" i="12"/>
  <c r="J27" i="17"/>
  <c r="J17" i="17"/>
  <c r="J33" i="17" s="1"/>
  <c r="L19" i="24"/>
  <c r="L59" i="3"/>
  <c r="L64" i="3" s="1"/>
  <c r="L22" i="16"/>
  <c r="K16" i="24"/>
  <c r="K18" i="24" s="1"/>
  <c r="K22" i="24" s="1"/>
  <c r="K40" i="24" s="1"/>
  <c r="K33" i="3"/>
  <c r="K44" i="3" s="1"/>
  <c r="K19" i="16"/>
  <c r="K21" i="16" s="1"/>
  <c r="K25" i="16" s="1"/>
  <c r="J9" i="18"/>
  <c r="J71" i="3"/>
  <c r="H23" i="1"/>
  <c r="H26" i="1" s="1"/>
  <c r="H47" i="3"/>
  <c r="H55" i="3" s="1"/>
  <c r="H27" i="24"/>
  <c r="I48" i="2"/>
  <c r="I49" i="2" s="1"/>
  <c r="I41" i="2"/>
  <c r="I28" i="3"/>
  <c r="I46" i="3" s="1"/>
  <c r="I20" i="1"/>
  <c r="J18" i="17" l="1"/>
  <c r="J19" i="1" s="1"/>
  <c r="K32" i="16"/>
  <c r="K24" i="17"/>
  <c r="K25" i="17" s="1"/>
  <c r="L15" i="16"/>
  <c r="L12" i="3"/>
  <c r="L11" i="3"/>
  <c r="L14" i="16"/>
  <c r="L13" i="16"/>
  <c r="L10" i="3"/>
  <c r="J32" i="17"/>
  <c r="J48" i="2" s="1"/>
  <c r="J49" i="2" s="1"/>
  <c r="J31" i="17"/>
  <c r="J38" i="2" s="1"/>
  <c r="J41" i="2" s="1"/>
  <c r="L6" i="13"/>
  <c r="L7" i="13"/>
  <c r="L43" i="2" s="1"/>
  <c r="L9" i="1"/>
  <c r="L17" i="1" s="1"/>
  <c r="I25" i="24"/>
  <c r="H8" i="18"/>
  <c r="H31" i="1"/>
  <c r="H35" i="1" s="1"/>
  <c r="I51" i="2"/>
  <c r="I14" i="19" s="1"/>
  <c r="I67" i="3"/>
  <c r="I8" i="3"/>
  <c r="I29" i="3" s="1"/>
  <c r="I45" i="3" s="1"/>
  <c r="I22" i="1"/>
  <c r="I23" i="1" s="1"/>
  <c r="I26" i="1" s="1"/>
  <c r="J24" i="24" l="1"/>
  <c r="J51" i="2"/>
  <c r="J14" i="19" s="1"/>
  <c r="J25" i="24"/>
  <c r="J67" i="3"/>
  <c r="K26" i="17"/>
  <c r="L20" i="16"/>
  <c r="L17" i="24"/>
  <c r="L43" i="3"/>
  <c r="L17" i="2"/>
  <c r="L8" i="13"/>
  <c r="L6" i="24"/>
  <c r="L7" i="24" s="1"/>
  <c r="L8" i="24" s="1"/>
  <c r="L14" i="24" s="1"/>
  <c r="L9" i="16"/>
  <c r="L10" i="16" s="1"/>
  <c r="L11" i="16" s="1"/>
  <c r="L17" i="16" s="1"/>
  <c r="H5" i="21"/>
  <c r="H8" i="22"/>
  <c r="H18" i="18"/>
  <c r="I31" i="1"/>
  <c r="I35" i="1" s="1"/>
  <c r="I8" i="18"/>
  <c r="I47" i="3"/>
  <c r="I55" i="3" s="1"/>
  <c r="I27" i="24"/>
  <c r="J20" i="1"/>
  <c r="J28" i="3"/>
  <c r="J46" i="3" s="1"/>
  <c r="L16" i="24" l="1"/>
  <c r="L18" i="24" s="1"/>
  <c r="L22" i="24" s="1"/>
  <c r="L40" i="24" s="1"/>
  <c r="L33" i="3"/>
  <c r="L44" i="3" s="1"/>
  <c r="L19" i="16"/>
  <c r="L21" i="16" s="1"/>
  <c r="L25" i="16" s="1"/>
  <c r="K17" i="17"/>
  <c r="K27" i="17"/>
  <c r="K71" i="3"/>
  <c r="K9" i="18"/>
  <c r="H74" i="3"/>
  <c r="H75" i="3" s="1"/>
  <c r="H77" i="3" s="1"/>
  <c r="H80" i="3" s="1"/>
  <c r="H25" i="2" s="1"/>
  <c r="H10" i="18"/>
  <c r="I18" i="18"/>
  <c r="J22" i="1"/>
  <c r="J8" i="3"/>
  <c r="J29" i="3" s="1"/>
  <c r="J45" i="3" s="1"/>
  <c r="I8" i="22"/>
  <c r="I5" i="21"/>
  <c r="K33" i="17" l="1"/>
  <c r="K18" i="17"/>
  <c r="L24" i="17"/>
  <c r="L25" i="17" s="1"/>
  <c r="L32" i="16"/>
  <c r="H19" i="18"/>
  <c r="H11" i="18"/>
  <c r="H26" i="2"/>
  <c r="H28" i="2" s="1"/>
  <c r="I79" i="3"/>
  <c r="J23" i="1"/>
  <c r="J26" i="1" s="1"/>
  <c r="J47" i="3"/>
  <c r="J55" i="3" s="1"/>
  <c r="J27" i="24"/>
  <c r="I74" i="3"/>
  <c r="I75" i="3" s="1"/>
  <c r="I77" i="3" s="1"/>
  <c r="I10" i="18"/>
  <c r="I80" i="3" l="1"/>
  <c r="I25" i="2" s="1"/>
  <c r="J79" i="3" s="1"/>
  <c r="K19" i="1"/>
  <c r="K24" i="24"/>
  <c r="L26" i="17"/>
  <c r="K31" i="17"/>
  <c r="K38" i="2" s="1"/>
  <c r="K32" i="17"/>
  <c r="K48" i="2" s="1"/>
  <c r="K49" i="2" s="1"/>
  <c r="H36" i="2"/>
  <c r="H20" i="18"/>
  <c r="I7" i="18"/>
  <c r="I11" i="18" s="1"/>
  <c r="I19" i="18"/>
  <c r="J31" i="1"/>
  <c r="J35" i="1" s="1"/>
  <c r="J8" i="18"/>
  <c r="I26" i="2" l="1"/>
  <c r="I28" i="2" s="1"/>
  <c r="H21" i="18"/>
  <c r="L9" i="18"/>
  <c r="L71" i="3"/>
  <c r="L27" i="17"/>
  <c r="L17" i="17"/>
  <c r="K41" i="2"/>
  <c r="K51" i="2" s="1"/>
  <c r="K14" i="19" s="1"/>
  <c r="K67" i="3"/>
  <c r="K25" i="24"/>
  <c r="K28" i="3"/>
  <c r="K46" i="3" s="1"/>
  <c r="K20" i="1"/>
  <c r="I17" i="18"/>
  <c r="H52" i="2"/>
  <c r="H54" i="2" s="1"/>
  <c r="H10" i="22"/>
  <c r="H11" i="22" s="1"/>
  <c r="H13" i="22" s="1"/>
  <c r="H26" i="24"/>
  <c r="H28" i="24" s="1"/>
  <c r="H31" i="24" s="1"/>
  <c r="H32" i="24" s="1"/>
  <c r="I30" i="24" s="1"/>
  <c r="H15" i="19"/>
  <c r="I9" i="22"/>
  <c r="J5" i="21"/>
  <c r="J8" i="22"/>
  <c r="J18" i="18"/>
  <c r="J7" i="18"/>
  <c r="I20" i="18"/>
  <c r="I36" i="2"/>
  <c r="L33" i="17" l="1"/>
  <c r="L18" i="17"/>
  <c r="K8" i="3"/>
  <c r="K29" i="3" s="1"/>
  <c r="K45" i="3" s="1"/>
  <c r="K22" i="1"/>
  <c r="I21" i="18"/>
  <c r="H16" i="19"/>
  <c r="H18" i="19" s="1"/>
  <c r="I10" i="22"/>
  <c r="I11" i="22" s="1"/>
  <c r="I13" i="22" s="1"/>
  <c r="I15" i="19"/>
  <c r="I16" i="19" s="1"/>
  <c r="I18" i="19" s="1"/>
  <c r="I52" i="2"/>
  <c r="I54" i="2" s="1"/>
  <c r="J9" i="22"/>
  <c r="I26" i="24"/>
  <c r="I28" i="24" s="1"/>
  <c r="I31" i="24" s="1"/>
  <c r="I32" i="24" s="1"/>
  <c r="J30" i="24" s="1"/>
  <c r="J17" i="18"/>
  <c r="J74" i="3"/>
  <c r="J75" i="3" s="1"/>
  <c r="J77" i="3" s="1"/>
  <c r="J80" i="3" s="1"/>
  <c r="J25" i="2" s="1"/>
  <c r="J10" i="18"/>
  <c r="L24" i="24" l="1"/>
  <c r="L19" i="1"/>
  <c r="K23" i="1"/>
  <c r="K26" i="1" s="1"/>
  <c r="K27" i="24"/>
  <c r="K47" i="3"/>
  <c r="K55" i="3" s="1"/>
  <c r="L31" i="17"/>
  <c r="L38" i="2" s="1"/>
  <c r="L32" i="17"/>
  <c r="L48" i="2" s="1"/>
  <c r="L49" i="2" s="1"/>
  <c r="I19" i="19"/>
  <c r="I24" i="19" s="1"/>
  <c r="I43" i="24" s="1"/>
  <c r="I44" i="24" s="1"/>
  <c r="H19" i="19"/>
  <c r="H24" i="19" s="1"/>
  <c r="H43" i="24" s="1"/>
  <c r="H44" i="24" s="1"/>
  <c r="K79" i="3"/>
  <c r="J26" i="2"/>
  <c r="J28" i="2" s="1"/>
  <c r="J19" i="18"/>
  <c r="J11" i="18"/>
  <c r="K31" i="1" l="1"/>
  <c r="K35" i="1" s="1"/>
  <c r="K8" i="18"/>
  <c r="L67" i="3"/>
  <c r="L41" i="2"/>
  <c r="L51" i="2" s="1"/>
  <c r="L14" i="19" s="1"/>
  <c r="L25" i="24"/>
  <c r="L20" i="1"/>
  <c r="L28" i="3"/>
  <c r="L46" i="3" s="1"/>
  <c r="J20" i="18"/>
  <c r="K7" i="18"/>
  <c r="J36" i="2"/>
  <c r="J21" i="18" l="1"/>
  <c r="L8" i="3"/>
  <c r="L29" i="3" s="1"/>
  <c r="L45" i="3" s="1"/>
  <c r="L22" i="1"/>
  <c r="K18" i="18"/>
  <c r="K5" i="21"/>
  <c r="K8" i="22"/>
  <c r="K9" i="22"/>
  <c r="J26" i="24"/>
  <c r="J28" i="24" s="1"/>
  <c r="J31" i="24" s="1"/>
  <c r="J32" i="24" s="1"/>
  <c r="K30" i="24" s="1"/>
  <c r="J52" i="2"/>
  <c r="J54" i="2" s="1"/>
  <c r="J10" i="22"/>
  <c r="J11" i="22" s="1"/>
  <c r="J13" i="22" s="1"/>
  <c r="J15" i="19"/>
  <c r="J16" i="19" s="1"/>
  <c r="J18" i="19" s="1"/>
  <c r="K17" i="18"/>
  <c r="J19" i="19" l="1"/>
  <c r="J24" i="19" s="1"/>
  <c r="J43" i="24" s="1"/>
  <c r="J44" i="24" s="1"/>
  <c r="L23" i="1"/>
  <c r="L26" i="1" s="1"/>
  <c r="L27" i="24"/>
  <c r="L47" i="3"/>
  <c r="L55" i="3" s="1"/>
  <c r="K10" i="18"/>
  <c r="K74" i="3"/>
  <c r="K75" i="3" s="1"/>
  <c r="K77" i="3" s="1"/>
  <c r="K80" i="3" s="1"/>
  <c r="K25" i="2" s="1"/>
  <c r="L79" i="3" l="1"/>
  <c r="K26" i="2"/>
  <c r="K28" i="2" s="1"/>
  <c r="K19" i="18"/>
  <c r="K11" i="18"/>
  <c r="L31" i="1"/>
  <c r="L35" i="1" s="1"/>
  <c r="L8" i="18"/>
  <c r="L18" i="18" l="1"/>
  <c r="L5" i="21"/>
  <c r="L8" i="22"/>
  <c r="K36" i="2"/>
  <c r="K20" i="18"/>
  <c r="L7" i="18"/>
  <c r="K21" i="18" l="1"/>
  <c r="L17" i="18"/>
  <c r="L74" i="3"/>
  <c r="L75" i="3" s="1"/>
  <c r="L77" i="3" s="1"/>
  <c r="L80" i="3" s="1"/>
  <c r="L25" i="2" s="1"/>
  <c r="L26" i="2" s="1"/>
  <c r="L28" i="2" s="1"/>
  <c r="L10" i="18"/>
  <c r="L11" i="18" s="1"/>
  <c r="L9" i="22"/>
  <c r="K52" i="2"/>
  <c r="K54" i="2" s="1"/>
  <c r="K15" i="19"/>
  <c r="K10" i="22"/>
  <c r="K11" i="22" s="1"/>
  <c r="K13" i="22" s="1"/>
  <c r="K26" i="24"/>
  <c r="K28" i="24" s="1"/>
  <c r="K31" i="24" s="1"/>
  <c r="K32" i="24" s="1"/>
  <c r="L30" i="24" s="1"/>
  <c r="L36" i="2" l="1"/>
  <c r="L20" i="18"/>
  <c r="K16" i="19"/>
  <c r="K18" i="19" s="1"/>
  <c r="L19" i="18"/>
  <c r="K19" i="19" l="1"/>
  <c r="K24" i="19" s="1"/>
  <c r="K43" i="24" s="1"/>
  <c r="K44" i="24" s="1"/>
  <c r="L21" i="18"/>
  <c r="L10" i="22"/>
  <c r="L15" i="19"/>
  <c r="L52" i="2"/>
  <c r="L54" i="2" s="1"/>
  <c r="L26" i="24"/>
  <c r="L28" i="24" s="1"/>
  <c r="L31" i="24" s="1"/>
  <c r="L32" i="24" s="1"/>
  <c r="L16" i="19" l="1"/>
  <c r="L18" i="19" s="1"/>
  <c r="L11" i="22"/>
  <c r="L13" i="22" s="1"/>
  <c r="C15" i="22" s="1"/>
  <c r="M9" i="22"/>
  <c r="M11" i="22" s="1"/>
  <c r="C16" i="22" s="1"/>
  <c r="L19" i="19" l="1"/>
  <c r="L24" i="19" s="1"/>
  <c r="C3" i="16" s="1"/>
  <c r="C17" i="22"/>
  <c r="C19" i="22" s="1"/>
  <c r="C21" i="22" s="1"/>
  <c r="L43" i="24" l="1"/>
  <c r="L41" i="24" s="1"/>
  <c r="C27" i="22"/>
  <c r="C9" i="25"/>
  <c r="L33" i="16"/>
  <c r="L34" i="16" s="1"/>
  <c r="I33" i="16"/>
  <c r="I34" i="16" s="1"/>
  <c r="K33" i="16"/>
  <c r="K34" i="16" s="1"/>
  <c r="F45" i="16"/>
  <c r="J33" i="16"/>
  <c r="J34" i="16" s="1"/>
  <c r="H33" i="16"/>
  <c r="H34" i="16" s="1"/>
  <c r="L35" i="16"/>
  <c r="L36" i="16" s="1"/>
  <c r="F40" i="16" s="1"/>
  <c r="L44" i="24" l="1"/>
  <c r="F48" i="24" s="1"/>
  <c r="F49" i="24"/>
  <c r="L45" i="24"/>
  <c r="F50" i="24" s="1"/>
  <c r="F39" i="16"/>
  <c r="F41" i="16" s="1"/>
  <c r="F44" i="16" s="1"/>
  <c r="F46" i="16" s="1"/>
  <c r="F48" i="16" s="1"/>
  <c r="F51" i="24" l="1"/>
  <c r="F54" i="24" s="1"/>
  <c r="F56" i="24" s="1"/>
  <c r="C53" i="16"/>
  <c r="C8" i="25"/>
  <c r="C10" i="25" s="1"/>
  <c r="C3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Usman</author>
  </authors>
  <commentList>
    <comment ref="B22" authorId="0" shapeId="0" xr:uid="{28326F75-154C-4969-BE03-1831454D2492}">
      <text>
        <r>
          <rPr>
            <b/>
            <sz val="9"/>
            <color indexed="81"/>
            <rFont val="Tahoma"/>
            <family val="2"/>
          </rPr>
          <t>Muhammad Usman:</t>
        </r>
        <r>
          <rPr>
            <sz val="9"/>
            <color indexed="81"/>
            <rFont val="Tahoma"/>
            <family val="2"/>
          </rPr>
          <t xml:space="preserve">
CF if the interloop was completely debt free.
Independent of capital structure.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Usman</author>
  </authors>
  <commentList>
    <comment ref="B25" authorId="0" shapeId="0" xr:uid="{18891884-FB90-4448-B1CF-08E12ADCB4B7}">
      <text>
        <r>
          <rPr>
            <b/>
            <sz val="9"/>
            <color indexed="81"/>
            <rFont val="Tahoma"/>
            <family val="2"/>
          </rPr>
          <t>Muhammad Usman:</t>
        </r>
        <r>
          <rPr>
            <sz val="9"/>
            <color indexed="81"/>
            <rFont val="Tahoma"/>
            <family val="2"/>
          </rPr>
          <t xml:space="preserve">
CF if the interloop was completely debt free.
Independent of capital structure.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E120A4-7963-4C83-90C2-BF5A230E37AB}" keepAlive="1" name="Query - Table 0 (2)" description="Connection to the 'Table 0 (2)' query in the workbook." type="5" refreshedVersion="0" background="1">
    <dbPr connection="Provider=Microsoft.Mashup.OleDb.1;Data Source=$Workbook$;Location=&quot;Table 0 (2)&quot;;Extended Properties=&quot;&quot;" command="SELECT * FROM [Table 0 (2)]"/>
  </connection>
  <connection id="2" xr16:uid="{59B4EFB1-7D20-40AD-A5C2-46CBCDBCF29F}" keepAlive="1" name="Query - Table 0 (3)" description="Connection to the 'Table 0 (3)' query in the workbook." type="5" refreshedVersion="8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<sst xmlns="http://schemas.openxmlformats.org/spreadsheetml/2006/main" count="788" uniqueCount="361">
  <si>
    <t>Index</t>
  </si>
  <si>
    <t>Drivers</t>
  </si>
  <si>
    <t>Drivers!A1</t>
  </si>
  <si>
    <t>Income Statement</t>
  </si>
  <si>
    <t>Income Statement'!A1</t>
  </si>
  <si>
    <t>Financial Position</t>
  </si>
  <si>
    <t>Financial Position'!A1</t>
  </si>
  <si>
    <t>Cash Flow</t>
  </si>
  <si>
    <t>CF 1'!A1</t>
  </si>
  <si>
    <t>DCF Valuation</t>
  </si>
  <si>
    <t>DCF Valuation'!A1</t>
  </si>
  <si>
    <t>Dividends Based Valuation</t>
  </si>
  <si>
    <t>Dividends Based Valuation'!A1</t>
  </si>
  <si>
    <t>Workings:</t>
  </si>
  <si>
    <t>Sales</t>
  </si>
  <si>
    <t>Sales!A1</t>
  </si>
  <si>
    <t>Cost of Sales</t>
  </si>
  <si>
    <t>COGS!A1</t>
  </si>
  <si>
    <t>Operating Expenses</t>
  </si>
  <si>
    <t>Opex!A1</t>
  </si>
  <si>
    <t>Other Income</t>
  </si>
  <si>
    <t>OI!A1</t>
  </si>
  <si>
    <t>Property, Plant &amp; Equipment</t>
  </si>
  <si>
    <t>PPE!A1</t>
  </si>
  <si>
    <t>Working Capital</t>
  </si>
  <si>
    <t>WC!A1</t>
  </si>
  <si>
    <t>Other Assets</t>
  </si>
  <si>
    <t>OA!A1</t>
  </si>
  <si>
    <t>Other Liabilities</t>
  </si>
  <si>
    <t>OL!A1</t>
  </si>
  <si>
    <t>Dividends</t>
  </si>
  <si>
    <t>Div!A1</t>
  </si>
  <si>
    <t>Financing</t>
  </si>
  <si>
    <t>Financing!A1</t>
  </si>
  <si>
    <t>Changes in Equity</t>
  </si>
  <si>
    <t>CIE!A1</t>
  </si>
  <si>
    <t>WACC</t>
  </si>
  <si>
    <t>WACC!A1</t>
  </si>
  <si>
    <t>Company</t>
  </si>
  <si>
    <t>Interloop Limited</t>
  </si>
  <si>
    <t>Currency</t>
  </si>
  <si>
    <t>PKR</t>
  </si>
  <si>
    <t>Domestic country</t>
  </si>
  <si>
    <t>Pakistan</t>
  </si>
  <si>
    <t>5-year treasury yield (23 Nov 2023)</t>
  </si>
  <si>
    <t>https://www.worldgovernmentbonds.com/bond-historical-data/pakistan/5-years/</t>
  </si>
  <si>
    <t>10-year treasury yield (23 Dec 2023)</t>
  </si>
  <si>
    <t>https://www.worldgovernmentbonds.com/bond-historical-data/pakistan/10-years/</t>
  </si>
  <si>
    <t>Market risk premium</t>
  </si>
  <si>
    <t>Normally between 4.5 to 5.5%</t>
  </si>
  <si>
    <t>Company beta (23 Dec 2023)</t>
  </si>
  <si>
    <t>https://scstrade.com/stockscreening/SS_CompanySnapShot.aspx?symbol=ILP</t>
  </si>
  <si>
    <t>Interloop share price (23 Dec 2023)</t>
  </si>
  <si>
    <t>https://dps.psx.com.pk/company/ILP</t>
  </si>
  <si>
    <t>Corporate tax rate</t>
  </si>
  <si>
    <t>https://tradingeconomics.com/pakistan/corporate-tax-rate#:~:text=The%20Corporate%20Tax%20Rate%20in,of%20Revenue%2C%20Government%20of%20Pakistan</t>
  </si>
  <si>
    <t>Expected inflation (g)</t>
  </si>
  <si>
    <t>https://www.statista.com/statistics/383760/inflation-rate-in-pakistan/</t>
  </si>
  <si>
    <t>https://thedocs.worldbank.org/en/doc/5d1783db09a0e09d15bbcea8ef0cec0b-0500052021/related/mpo-pak.pdf</t>
  </si>
  <si>
    <t>Shares Outstanding (in thousands)</t>
  </si>
  <si>
    <t>Statement of Profit or Loss</t>
  </si>
  <si>
    <t>For the year ended June 30, 20XX</t>
  </si>
  <si>
    <t>2019A</t>
  </si>
  <si>
    <t>2020A</t>
  </si>
  <si>
    <t>2021A</t>
  </si>
  <si>
    <t>2022A</t>
  </si>
  <si>
    <t>2023A</t>
  </si>
  <si>
    <t>2024F</t>
  </si>
  <si>
    <t>2025F</t>
  </si>
  <si>
    <t>2026F</t>
  </si>
  <si>
    <t>2027F</t>
  </si>
  <si>
    <t>2028F</t>
  </si>
  <si>
    <t>(Rupees‘000)</t>
  </si>
  <si>
    <t>Assumption</t>
  </si>
  <si>
    <t>Sales - net</t>
  </si>
  <si>
    <t>Cost of sales</t>
  </si>
  <si>
    <t>COGS</t>
  </si>
  <si>
    <t>Gross profit</t>
  </si>
  <si>
    <t>Operating expenses</t>
  </si>
  <si>
    <t>Distribution cost</t>
  </si>
  <si>
    <t>Opex</t>
  </si>
  <si>
    <t>Administrative expenses</t>
  </si>
  <si>
    <t>Other operating expenses</t>
  </si>
  <si>
    <t>Other income</t>
  </si>
  <si>
    <t>OI</t>
  </si>
  <si>
    <t>Profit from operations</t>
  </si>
  <si>
    <t>Finance cost</t>
  </si>
  <si>
    <t>Profit before taxation</t>
  </si>
  <si>
    <t>Taxation</t>
  </si>
  <si>
    <t>As a % of PBT</t>
  </si>
  <si>
    <t>Profit for the year</t>
  </si>
  <si>
    <t>Restated</t>
  </si>
  <si>
    <t>Earnings per share - basic and diluted</t>
  </si>
  <si>
    <t>Statement of Comprehensive Income</t>
  </si>
  <si>
    <t>Other Comprehensive Loss:</t>
  </si>
  <si>
    <t>Items that will not be reclassified
subsequently to profit or loss:</t>
  </si>
  <si>
    <t>Actuarial loss on remeasurement of 
post retirement benefits obligations</t>
  </si>
  <si>
    <t>stays flat</t>
  </si>
  <si>
    <t>Total comprehensive income for the year</t>
  </si>
  <si>
    <t>Statement of Financial Position</t>
  </si>
  <si>
    <t>As at June 30, 20XX</t>
  </si>
  <si>
    <t>6/30/2019A</t>
  </si>
  <si>
    <t>6/30/2020A</t>
  </si>
  <si>
    <t>6/30/2021A</t>
  </si>
  <si>
    <t>6/30/2022A</t>
  </si>
  <si>
    <t>6/30/2023A</t>
  </si>
  <si>
    <t>6/30/2024F</t>
  </si>
  <si>
    <t>6/30/2025F</t>
  </si>
  <si>
    <t>6/30/2026F</t>
  </si>
  <si>
    <t>6/30/2027F</t>
  </si>
  <si>
    <t>6/30/2028F</t>
  </si>
  <si>
    <t>Assets</t>
  </si>
  <si>
    <t>Non Current Assets</t>
  </si>
  <si>
    <t>Property, Plant And Equipment</t>
  </si>
  <si>
    <t>PP&amp;E sheet</t>
  </si>
  <si>
    <t>Intangible Assets</t>
  </si>
  <si>
    <t>Stays flat</t>
  </si>
  <si>
    <t>Long Term Investments</t>
  </si>
  <si>
    <t>Long Term Loans</t>
  </si>
  <si>
    <t>Grows as a % of revenues</t>
  </si>
  <si>
    <t>Long Term Deposits</t>
  </si>
  <si>
    <t/>
  </si>
  <si>
    <t>Current Assets</t>
  </si>
  <si>
    <t>Stores And Spares</t>
  </si>
  <si>
    <t>Stock In Trade</t>
  </si>
  <si>
    <t>Working capital sheet</t>
  </si>
  <si>
    <t>Trade Debts</t>
  </si>
  <si>
    <t>Loans And Advances</t>
  </si>
  <si>
    <t>Deposit, Prepayment And Other Receivables</t>
  </si>
  <si>
    <t>Derivative Financial Instruments</t>
  </si>
  <si>
    <t>Accrued Income</t>
  </si>
  <si>
    <t>Refunds Due From Government And Statutory Authorities</t>
  </si>
  <si>
    <t>Short Term Investments</t>
  </si>
  <si>
    <t>Cash And Bank Balances</t>
  </si>
  <si>
    <t>Total Assets</t>
  </si>
  <si>
    <t>Equity And Liabilities</t>
  </si>
  <si>
    <t>Share Capital And Reserves</t>
  </si>
  <si>
    <t>Authorized Share Capital</t>
  </si>
  <si>
    <t>Issued, Subscribed And Paid Up Capital</t>
  </si>
  <si>
    <t>Reserves</t>
  </si>
  <si>
    <t>Unappropriated Profit</t>
  </si>
  <si>
    <t>Equity</t>
  </si>
  <si>
    <t>Non Current Liabilities</t>
  </si>
  <si>
    <t>Long Term Financing</t>
  </si>
  <si>
    <t>Lease Liabilities</t>
  </si>
  <si>
    <t>Deferred Liabilities</t>
  </si>
  <si>
    <t>Current Liabilities</t>
  </si>
  <si>
    <t>Trade And Other Payables</t>
  </si>
  <si>
    <t>Unclaimed Dividend</t>
  </si>
  <si>
    <t>Accrued Mark Up</t>
  </si>
  <si>
    <t>Short Term Borrowings</t>
  </si>
  <si>
    <t>Current Portion Of Non Current Liabilities</t>
  </si>
  <si>
    <t>Contingencies And Commitments</t>
  </si>
  <si>
    <t>Total Liabilities</t>
  </si>
  <si>
    <t>Total Equity And Liabilities</t>
  </si>
  <si>
    <t>Check</t>
  </si>
  <si>
    <t>Statement of Cash Flow</t>
  </si>
  <si>
    <t>Cash Flows From Operating Activities</t>
  </si>
  <si>
    <t>Adjustments for:</t>
  </si>
  <si>
    <t>Depreciation</t>
  </si>
  <si>
    <t>Amortization</t>
  </si>
  <si>
    <t>Depreciation on right of use assets</t>
  </si>
  <si>
    <t>Workers’ welfare fund</t>
  </si>
  <si>
    <t>Workers’ profit participation fund</t>
  </si>
  <si>
    <t>Staff retirement gratuity</t>
  </si>
  <si>
    <t>Employee share option compensation expense</t>
  </si>
  <si>
    <t>Loss on disposal of non current assets</t>
  </si>
  <si>
    <t>Exchange (gain)/loss - net</t>
  </si>
  <si>
    <t>Balances/Inventory written off</t>
  </si>
  <si>
    <t>Realized loss on derivative financial instruments</t>
  </si>
  <si>
    <t>-</t>
  </si>
  <si>
    <t>Unrealized (gain)/loss on derivative financial instruments</t>
  </si>
  <si>
    <t>Remeasurement loss on investment in mutual funds</t>
  </si>
  <si>
    <t>Profit on term deposit receipts (TDRs)</t>
  </si>
  <si>
    <t>Profit on term finance certificates (TFCs)</t>
  </si>
  <si>
    <t>Interest on loan to Metis International (Pvt) Ltd</t>
  </si>
  <si>
    <t>Reversal of impairment loss</t>
  </si>
  <si>
    <t>Interest on receivables from IL Bangla Limited</t>
  </si>
  <si>
    <t>Operating cash flows before working capital changes</t>
  </si>
  <si>
    <t>Changes in working capital</t>
  </si>
  <si>
    <t>(Increase)/decrease in current assets:</t>
  </si>
  <si>
    <t>Stores and spares</t>
  </si>
  <si>
    <t>Stock in trade</t>
  </si>
  <si>
    <t>Trade debts</t>
  </si>
  <si>
    <t>Loans and advances</t>
  </si>
  <si>
    <t>Deposit, prepayment and other receivables</t>
  </si>
  <si>
    <t>Accrued markup</t>
  </si>
  <si>
    <t>Defered liabilities</t>
  </si>
  <si>
    <t>Refunds due from Government and statutory authorities</t>
  </si>
  <si>
    <t>Short term investment in mutual funds - net</t>
  </si>
  <si>
    <t>Increase/(decrease) in current liabilities</t>
  </si>
  <si>
    <t>Trade and other payables</t>
  </si>
  <si>
    <t>Cash generated from / (used in) operations</t>
  </si>
  <si>
    <t>Finance cost paid</t>
  </si>
  <si>
    <t>Income tax paid</t>
  </si>
  <si>
    <t>Staff retirement gratuity paid</t>
  </si>
  <si>
    <t>Workers’ profit participation fund paid</t>
  </si>
  <si>
    <t>Long term loans paid</t>
  </si>
  <si>
    <t>Long term deposits received / (paid)</t>
  </si>
  <si>
    <t>Settlement of derivative financial instruments</t>
  </si>
  <si>
    <t>Profit on term deposit receipts (TDRs) received</t>
  </si>
  <si>
    <t>Exchange loss - net</t>
  </si>
  <si>
    <t>Net cash generated from / (used in) operating activities</t>
  </si>
  <si>
    <t>Cash Flows From Investing Activities</t>
  </si>
  <si>
    <t>Additions in:</t>
  </si>
  <si>
    <t xml:space="preserve">      Property, plant and equipment</t>
  </si>
  <si>
    <t xml:space="preserve">      Intangible assets</t>
  </si>
  <si>
    <t>Proceeds from disposal of operating fixed assets</t>
  </si>
  <si>
    <t>Profit on term finance certificates (TFCs) received</t>
  </si>
  <si>
    <t>Changes in long term investments</t>
  </si>
  <si>
    <t>Net cash used in investing activities</t>
  </si>
  <si>
    <t>Cash Flows From Financing Activities</t>
  </si>
  <si>
    <t>Long term financing obtained</t>
  </si>
  <si>
    <t>new debt</t>
  </si>
  <si>
    <t>Repayment of long term financing</t>
  </si>
  <si>
    <t>Payment of lease rentals</t>
  </si>
  <si>
    <t>Changes in short term borrowings - net</t>
  </si>
  <si>
    <t>Share Capital Issued</t>
  </si>
  <si>
    <t>new equity</t>
  </si>
  <si>
    <t>Share Premium net of transaction cost</t>
  </si>
  <si>
    <t>Transaction cost on issuance of bonus shares</t>
  </si>
  <si>
    <t>Dividend paid</t>
  </si>
  <si>
    <t>Net cash generated from financing activities</t>
  </si>
  <si>
    <t>Net increase / (decrease) in cash and cash equivalents</t>
  </si>
  <si>
    <t>Add: Transfer upon amalgamation</t>
  </si>
  <si>
    <t>Cash and cash equivalents at the beginning of the year</t>
  </si>
  <si>
    <t>Cash and cash equivalents at the end of the year</t>
  </si>
  <si>
    <t>DCF Based Valuation</t>
  </si>
  <si>
    <t>EBIT</t>
  </si>
  <si>
    <t>Operating taxes (10%)</t>
  </si>
  <si>
    <t>NOPAT (Net Operating Profit After Tax)</t>
  </si>
  <si>
    <t>D&amp;A</t>
  </si>
  <si>
    <t>Gross Cash Flow</t>
  </si>
  <si>
    <t>Trade debts (receivables)</t>
  </si>
  <si>
    <t>Stock in trade (inventory)</t>
  </si>
  <si>
    <t>Trade payables</t>
  </si>
  <si>
    <t>Investments in Working Capital</t>
  </si>
  <si>
    <t>Capex</t>
  </si>
  <si>
    <t>Other assets</t>
  </si>
  <si>
    <t>Other liabilties</t>
  </si>
  <si>
    <t>Unlevered Free Cash Flow</t>
  </si>
  <si>
    <t>Finance Cost</t>
  </si>
  <si>
    <t>Delta Financial liabilities</t>
  </si>
  <si>
    <t>Delta equity/Other equity movements</t>
  </si>
  <si>
    <t>Tax adjustment (Actual - Operating)</t>
  </si>
  <si>
    <t>Net Cash Flow</t>
  </si>
  <si>
    <t>Opening cash</t>
  </si>
  <si>
    <t>Closing cash</t>
  </si>
  <si>
    <t>g (Perpetuity growth)</t>
  </si>
  <si>
    <t xml:space="preserve"> </t>
  </si>
  <si>
    <t>Continuing value</t>
  </si>
  <si>
    <t>Discount factor (WACC)</t>
  </si>
  <si>
    <t>Present value of UFCF</t>
  </si>
  <si>
    <t>Present value of CV</t>
  </si>
  <si>
    <t>Perpetuity Growth Rate-Based Valuation</t>
  </si>
  <si>
    <t>Total PV of Cash Flows</t>
  </si>
  <si>
    <t>Continuing Value</t>
  </si>
  <si>
    <t>PV of Continuing Value</t>
  </si>
  <si>
    <t>Enterprise Value</t>
  </si>
  <si>
    <t>+Cash</t>
  </si>
  <si>
    <t>-Financial liabilities</t>
  </si>
  <si>
    <t>Equity Value</t>
  </si>
  <si>
    <t>Number of shares outstanding (as of 19 Nov 2023)</t>
  </si>
  <si>
    <t>Price per share</t>
  </si>
  <si>
    <t>Long run growth (g)</t>
  </si>
  <si>
    <t>Present Value factor</t>
  </si>
  <si>
    <t>Adjust for mid year discounting</t>
  </si>
  <si>
    <t>Total present value of Equity</t>
  </si>
  <si>
    <t>Number of shares outstanding (as of 23 Dec 2023)</t>
  </si>
  <si>
    <t>Sensitivity Analysis</t>
  </si>
  <si>
    <t>Long run growth assumptions (g)</t>
  </si>
  <si>
    <t>Discount Rates (WACC)</t>
  </si>
  <si>
    <t>Cost of Equity</t>
  </si>
  <si>
    <t>Net Income</t>
  </si>
  <si>
    <t>Add: Opening Equity</t>
  </si>
  <si>
    <t>Less: Closing Equity</t>
  </si>
  <si>
    <t>Total Dividends</t>
  </si>
  <si>
    <t>Present value factor</t>
  </si>
  <si>
    <t>Present value of dividends</t>
  </si>
  <si>
    <t>Sum of Present value of dividends</t>
  </si>
  <si>
    <t>Sum of Present value of continuing value</t>
  </si>
  <si>
    <t>Present value of equity</t>
  </si>
  <si>
    <t>Total Present value of equity</t>
  </si>
  <si>
    <t>Number of shares outstanding</t>
  </si>
  <si>
    <t>Discount Rates (Cost of Equity)</t>
  </si>
  <si>
    <t>Results</t>
  </si>
  <si>
    <t>Decision</t>
  </si>
  <si>
    <t>Current Market price</t>
  </si>
  <si>
    <t>Price according to:</t>
  </si>
  <si>
    <t>Average price</t>
  </si>
  <si>
    <t>Share Capital</t>
  </si>
  <si>
    <t>Capital Reserves</t>
  </si>
  <si>
    <t>Revenue Reserve</t>
  </si>
  <si>
    <t>Total</t>
  </si>
  <si>
    <t>Share 
Premium</t>
  </si>
  <si>
    <t>Employee 
Share Option 
Compensation 
Reserve</t>
  </si>
  <si>
    <t>Unappropriated
Profit</t>
  </si>
  <si>
    <t>(Rupees ‘000)</t>
  </si>
  <si>
    <t>Balance as at July 01, 2021</t>
  </si>
  <si>
    <t>Other comprehensive loss</t>
  </si>
  <si>
    <t>Transactions with owners:</t>
  </si>
  <si>
    <t>Bonus shares issued during the year</t>
  </si>
  <si>
    <t>Final cash dividend @ Re. 1 per share
for the year ended June 30, 2021</t>
  </si>
  <si>
    <t>Interim cash dividend @ Rs. 2 per share
for the year ended June 30, 2022</t>
  </si>
  <si>
    <t>Balance as at June 30, 2022</t>
  </si>
  <si>
    <t>Employee share option scheme (ESOS)</t>
  </si>
  <si>
    <t>Final cash dividend @ Rs. 2 per share
for the year ended June 30, 2022</t>
  </si>
  <si>
    <t>Interim cash dividend @ Rs. 3 per share
for the year ended June 30, 2023</t>
  </si>
  <si>
    <t>Balance as at June 30, 2023</t>
  </si>
  <si>
    <t>Workings -&gt;</t>
  </si>
  <si>
    <t>Sales - Net</t>
  </si>
  <si>
    <t>Export Sales</t>
  </si>
  <si>
    <t>Local Sales</t>
  </si>
  <si>
    <t>Less:</t>
  </si>
  <si>
    <t>Sales Discount</t>
  </si>
  <si>
    <t>Sales Tax</t>
  </si>
  <si>
    <t>Cost of sales
 (as % of sales)</t>
  </si>
  <si>
    <t>As % of sales</t>
  </si>
  <si>
    <t xml:space="preserve"> % of revenue</t>
  </si>
  <si>
    <t>PPE</t>
  </si>
  <si>
    <t>Beginning PPE</t>
  </si>
  <si>
    <t>Adjusted: Capex</t>
  </si>
  <si>
    <t>Ending PPE</t>
  </si>
  <si>
    <t>D&amp;A as a % of PP&amp;E</t>
  </si>
  <si>
    <t>Capex as a % of PP&amp;E</t>
  </si>
  <si>
    <t>Working capital</t>
  </si>
  <si>
    <t>Net trade cycle</t>
  </si>
  <si>
    <t>Selected case:</t>
  </si>
  <si>
    <t>DSO</t>
  </si>
  <si>
    <t>DIO</t>
  </si>
  <si>
    <t>DPO</t>
  </si>
  <si>
    <t>As a % of revenues</t>
  </si>
  <si>
    <t>Dividends Paid</t>
  </si>
  <si>
    <t>% of NI</t>
  </si>
  <si>
    <t>Dividends are decreasing due to an increase in capex but in future years it is expected to increase.</t>
  </si>
  <si>
    <t>Cover negative cash flows with:</t>
  </si>
  <si>
    <t>Debt</t>
  </si>
  <si>
    <t>Financing mix</t>
  </si>
  <si>
    <t>Liabilities to assets</t>
  </si>
  <si>
    <t>Equity to assets</t>
  </si>
  <si>
    <t>Long-term debt, net of current</t>
  </si>
  <si>
    <t>Interest rate</t>
  </si>
  <si>
    <t>New Debt</t>
  </si>
  <si>
    <t>New Equity</t>
  </si>
  <si>
    <t>Long-term debt and capital leases, net of current</t>
  </si>
  <si>
    <t>as a % of long-term debt and leases liabilities, net of current</t>
  </si>
  <si>
    <t>Closing Equity = Opening Equity+Net Income+Added Equity-Dividends</t>
  </si>
  <si>
    <t>Closing Equity</t>
  </si>
  <si>
    <t>Opening Equity</t>
  </si>
  <si>
    <t>Added Equity</t>
  </si>
  <si>
    <t>Delta Equity = Opening Equity+Net Income-Closing Equity</t>
  </si>
  <si>
    <t>Delta Equity</t>
  </si>
  <si>
    <t>dividends</t>
  </si>
  <si>
    <t>Risk-free rate</t>
  </si>
  <si>
    <t>Market Beta (as of 23 Dec 2023)</t>
  </si>
  <si>
    <t>Tax rate</t>
  </si>
  <si>
    <t>Cost of equity</t>
  </si>
  <si>
    <t>Current bond Yield as of 19th Nov</t>
  </si>
  <si>
    <t>Debt / (Debt + Equity)</t>
  </si>
  <si>
    <t>Equity / (Debt + Equity)</t>
  </si>
  <si>
    <t>Cost of debt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</si>
</sst>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(* #,##0_);_(* \(#,##0\);_(* &quot;-&quot;_);_(@_)"/>
    <numFmt numFmtId="43" formatCode="_(* #,##0.00_);_(* \(#,##0.00\);_(* &quot;-&quot;??_);_(@_)"/>
    <numFmt numFmtId="164" formatCode="_(* #,##0.00_);_(* \(#,##0.00\);_(* &quot;-&quot;_);_(@_)"/>
    <numFmt numFmtId="165" formatCode="_(* #,##0_);_(* \(#,##0\);_(* &quot;-&quot;??_);_(@_)"/>
    <numFmt numFmtId="166" formatCode="0.0%"/>
    <numFmt numFmtId="167" formatCode="#,##0.0_);\(#,##0.0\)"/>
    <numFmt numFmtId="168" formatCode="_(* #,##0.0_);_(* \(#,##0.0\);_(* &quot;-&quot;??_);_(@_)"/>
    <numFmt numFmtId="169" formatCode="_(* #,##0.0_);_(* \(#,##0.0\);_(* &quot;-&quot;?_);@_l"/>
    <numFmt numFmtId="170" formatCode="_(* #,##0.0_);_(* \(#,##0.0\);_(* &quot;-&quot;?_);@_)"/>
    <numFmt numFmtId="171" formatCode="_-* #,##0.00\ _л_в_._-;\-* #,##0.00\ _л_в_._-;_-* &quot;-&quot;??\ _л_в_._-;_-@_-"/>
    <numFmt numFmtId="172" formatCode="_(* #,##0_);_(* \(#,##0\);_(* &quot;-&quot;?_);@_l"/>
    <numFmt numFmtId="173" formatCode="_(* #,##0_);_(* \(#,##0\);_(* &quot;-&quot;?_);@_)"/>
    <numFmt numFmtId="174" formatCode="_(* #,##0.000_);_(* \(#,##0.000\);_(* &quot;-&quot;?_);@_)"/>
    <numFmt numFmtId="175" formatCode="_(* #,##0.000_);_(* \(#,##0.000\);_(* &quot;-&quot;_);_(@_)"/>
    <numFmt numFmtId="176" formatCode="_(* #,##0.0000_);_(* \(#,##0.0000\);_(* &quot;-&quot;?_);@_)"/>
    <numFmt numFmtId="177" formatCode="0.000%"/>
  </numFmts>
  <fonts count="36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sz val="8"/>
      <name val="Calibri"/>
      <family val="2"/>
      <scheme val="minor"/>
    </font>
    <font>
      <b/>
      <sz val="9"/>
      <name val="Arial"/>
      <family val="2"/>
    </font>
    <font>
      <b/>
      <sz val="14"/>
      <color rgb="FF002060"/>
      <name val="Arial"/>
      <family val="2"/>
    </font>
    <font>
      <sz val="9"/>
      <name val="Arial"/>
      <family val="2"/>
      <charset val="204"/>
    </font>
    <font>
      <sz val="9"/>
      <color theme="1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9"/>
      <name val="Arial"/>
      <family val="2"/>
    </font>
    <font>
      <b/>
      <sz val="40"/>
      <color rgb="FF002060"/>
      <name val="Arial"/>
      <family val="2"/>
      <charset val="204"/>
    </font>
    <font>
      <sz val="11"/>
      <color theme="1"/>
      <name val="Calibri"/>
      <family val="2"/>
      <scheme val="minor"/>
    </font>
    <font>
      <sz val="9"/>
      <color rgb="FF002060"/>
      <name val="Arial"/>
      <family val="2"/>
    </font>
    <font>
      <b/>
      <sz val="9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  <charset val="204"/>
    </font>
    <font>
      <b/>
      <sz val="9"/>
      <color indexed="9"/>
      <name val="Arial"/>
      <family val="2"/>
    </font>
    <font>
      <sz val="12"/>
      <color theme="1"/>
      <name val="Arial"/>
      <family val="2"/>
    </font>
    <font>
      <b/>
      <sz val="12"/>
      <color rgb="FF002060"/>
      <name val="Aral"/>
    </font>
    <font>
      <b/>
      <sz val="9"/>
      <color rgb="FF002060"/>
      <name val="Aral"/>
    </font>
    <font>
      <b/>
      <sz val="9"/>
      <color theme="0"/>
      <name val="Aral"/>
    </font>
    <font>
      <sz val="9"/>
      <color theme="1"/>
      <name val="Aral"/>
    </font>
    <font>
      <sz val="9"/>
      <name val="Aral"/>
    </font>
    <font>
      <b/>
      <sz val="9"/>
      <name val="Aral"/>
    </font>
    <font>
      <b/>
      <sz val="10"/>
      <color theme="1"/>
      <name val="Arial"/>
      <family val="2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rgb="FF00206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medium">
        <color rgb="FF00206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11" fillId="0" borderId="0" applyNumberForma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24" fillId="0" borderId="0">
      <alignment vertical="top"/>
    </xf>
    <xf numFmtId="43" fontId="25" fillId="0" borderId="0">
      <alignment vertical="top"/>
    </xf>
    <xf numFmtId="9" fontId="25" fillId="0" borderId="0">
      <alignment vertical="top"/>
    </xf>
    <xf numFmtId="0" fontId="24" fillId="0" borderId="0" applyNumberFormat="0" applyFill="0" applyBorder="0" applyAlignment="0" applyProtection="0"/>
  </cellStyleXfs>
  <cellXfs count="2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41" fontId="1" fillId="2" borderId="0" xfId="0" applyNumberFormat="1" applyFont="1" applyFill="1" applyAlignment="1">
      <alignment horizontal="right"/>
    </xf>
    <xf numFmtId="0" fontId="1" fillId="2" borderId="0" xfId="0" applyFont="1" applyFill="1" applyAlignment="1">
      <alignment horizontal="right"/>
    </xf>
    <xf numFmtId="0" fontId="3" fillId="2" borderId="0" xfId="0" applyFont="1" applyFill="1"/>
    <xf numFmtId="0" fontId="4" fillId="2" borderId="0" xfId="0" applyFont="1" applyFill="1"/>
    <xf numFmtId="0" fontId="4" fillId="2" borderId="1" xfId="0" applyFont="1" applyFill="1" applyBorder="1"/>
    <xf numFmtId="41" fontId="4" fillId="2" borderId="1" xfId="0" applyNumberFormat="1" applyFont="1" applyFill="1" applyBorder="1" applyAlignment="1">
      <alignment horizontal="right"/>
    </xf>
    <xf numFmtId="41" fontId="4" fillId="2" borderId="0" xfId="0" applyNumberFormat="1" applyFont="1" applyFill="1" applyAlignment="1">
      <alignment horizontal="right"/>
    </xf>
    <xf numFmtId="0" fontId="1" fillId="2" borderId="0" xfId="0" applyFont="1" applyFill="1" applyAlignment="1">
      <alignment wrapText="1"/>
    </xf>
    <xf numFmtId="0" fontId="3" fillId="2" borderId="0" xfId="0" applyFont="1" applyFill="1" applyAlignment="1">
      <alignment horizontal="right"/>
    </xf>
    <xf numFmtId="0" fontId="1" fillId="2" borderId="2" xfId="0" applyFont="1" applyFill="1" applyBorder="1"/>
    <xf numFmtId="0" fontId="0" fillId="2" borderId="0" xfId="0" applyFill="1"/>
    <xf numFmtId="0" fontId="4" fillId="2" borderId="2" xfId="0" applyFont="1" applyFill="1" applyBorder="1"/>
    <xf numFmtId="0" fontId="4" fillId="2" borderId="3" xfId="0" applyFont="1" applyFill="1" applyBorder="1"/>
    <xf numFmtId="41" fontId="4" fillId="2" borderId="2" xfId="0" applyNumberFormat="1" applyFont="1" applyFill="1" applyBorder="1" applyAlignment="1">
      <alignment horizontal="right"/>
    </xf>
    <xf numFmtId="0" fontId="3" fillId="2" borderId="4" xfId="0" applyFont="1" applyFill="1" applyBorder="1" applyAlignment="1">
      <alignment horizontal="right"/>
    </xf>
    <xf numFmtId="0" fontId="1" fillId="2" borderId="4" xfId="0" applyFont="1" applyFill="1" applyBorder="1"/>
    <xf numFmtId="0" fontId="3" fillId="2" borderId="5" xfId="0" applyFont="1" applyFill="1" applyBorder="1" applyAlignment="1">
      <alignment vertical="center" wrapText="1"/>
    </xf>
    <xf numFmtId="41" fontId="1" fillId="2" borderId="0" xfId="0" applyNumberFormat="1" applyFont="1" applyFill="1"/>
    <xf numFmtId="41" fontId="0" fillId="2" borderId="0" xfId="0" applyNumberFormat="1" applyFill="1" applyAlignment="1">
      <alignment horizontal="right"/>
    </xf>
    <xf numFmtId="164" fontId="4" fillId="2" borderId="3" xfId="0" applyNumberFormat="1" applyFont="1" applyFill="1" applyBorder="1" applyAlignment="1">
      <alignment horizontal="right"/>
    </xf>
    <xf numFmtId="0" fontId="4" fillId="2" borderId="0" xfId="0" applyFont="1" applyFill="1" applyAlignment="1">
      <alignment wrapText="1"/>
    </xf>
    <xf numFmtId="41" fontId="4" fillId="2" borderId="0" xfId="0" applyNumberFormat="1" applyFont="1" applyFill="1"/>
    <xf numFmtId="0" fontId="1" fillId="2" borderId="6" xfId="0" applyFont="1" applyFill="1" applyBorder="1"/>
    <xf numFmtId="41" fontId="1" fillId="2" borderId="6" xfId="0" applyNumberFormat="1" applyFont="1" applyFill="1" applyBorder="1" applyAlignment="1">
      <alignment horizontal="right"/>
    </xf>
    <xf numFmtId="0" fontId="7" fillId="2" borderId="0" xfId="0" applyFont="1" applyFill="1"/>
    <xf numFmtId="0" fontId="1" fillId="2" borderId="0" xfId="0" applyFont="1" applyFill="1" applyAlignment="1">
      <alignment horizontal="right" wrapText="1"/>
    </xf>
    <xf numFmtId="0" fontId="3" fillId="2" borderId="5" xfId="0" applyFont="1" applyFill="1" applyBorder="1" applyAlignment="1">
      <alignment horizontal="center" vertical="center" wrapText="1"/>
    </xf>
    <xf numFmtId="41" fontId="1" fillId="2" borderId="0" xfId="0" applyNumberFormat="1" applyFont="1" applyFill="1" applyAlignment="1">
      <alignment horizontal="center"/>
    </xf>
    <xf numFmtId="0" fontId="9" fillId="2" borderId="0" xfId="0" applyFont="1" applyFill="1" applyAlignment="1">
      <alignment vertical="top"/>
    </xf>
    <xf numFmtId="0" fontId="10" fillId="2" borderId="0" xfId="0" applyFont="1" applyFill="1"/>
    <xf numFmtId="0" fontId="12" fillId="2" borderId="0" xfId="1" applyFont="1" applyFill="1"/>
    <xf numFmtId="9" fontId="13" fillId="2" borderId="0" xfId="0" applyNumberFormat="1" applyFont="1" applyFill="1" applyAlignment="1">
      <alignment horizontal="right" vertical="top"/>
    </xf>
    <xf numFmtId="0" fontId="13" fillId="2" borderId="0" xfId="0" applyFont="1" applyFill="1" applyAlignment="1">
      <alignment horizontal="right" vertical="top"/>
    </xf>
    <xf numFmtId="10" fontId="13" fillId="2" borderId="0" xfId="0" applyNumberFormat="1" applyFont="1" applyFill="1" applyAlignment="1">
      <alignment horizontal="right" vertical="top"/>
    </xf>
    <xf numFmtId="0" fontId="14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5" fillId="3" borderId="0" xfId="0" applyFont="1" applyFill="1" applyAlignment="1">
      <alignment horizontal="right"/>
    </xf>
    <xf numFmtId="41" fontId="5" fillId="3" borderId="0" xfId="0" applyNumberFormat="1" applyFont="1" applyFill="1" applyAlignment="1">
      <alignment horizontal="right"/>
    </xf>
    <xf numFmtId="9" fontId="2" fillId="2" borderId="0" xfId="0" applyNumberFormat="1" applyFont="1" applyFill="1" applyAlignment="1">
      <alignment horizontal="left" vertical="top"/>
    </xf>
    <xf numFmtId="41" fontId="13" fillId="4" borderId="0" xfId="0" applyNumberFormat="1" applyFont="1" applyFill="1"/>
    <xf numFmtId="41" fontId="13" fillId="4" borderId="0" xfId="0" applyNumberFormat="1" applyFont="1" applyFill="1" applyAlignment="1">
      <alignment horizontal="right"/>
    </xf>
    <xf numFmtId="15" fontId="5" fillId="3" borderId="0" xfId="0" applyNumberFormat="1" applyFont="1" applyFill="1" applyAlignment="1">
      <alignment horizontal="right"/>
    </xf>
    <xf numFmtId="41" fontId="1" fillId="2" borderId="2" xfId="0" applyNumberFormat="1" applyFont="1" applyFill="1" applyBorder="1"/>
    <xf numFmtId="41" fontId="4" fillId="2" borderId="1" xfId="0" applyNumberFormat="1" applyFont="1" applyFill="1" applyBorder="1"/>
    <xf numFmtId="41" fontId="1" fillId="2" borderId="7" xfId="0" applyNumberFormat="1" applyFont="1" applyFill="1" applyBorder="1"/>
    <xf numFmtId="10" fontId="1" fillId="2" borderId="0" xfId="2" applyNumberFormat="1" applyFont="1" applyFill="1"/>
    <xf numFmtId="0" fontId="1" fillId="2" borderId="0" xfId="0" applyFont="1" applyFill="1" applyAlignment="1">
      <alignment horizontal="left" vertical="top"/>
    </xf>
    <xf numFmtId="0" fontId="4" fillId="2" borderId="1" xfId="0" applyFont="1" applyFill="1" applyBorder="1" applyAlignment="1">
      <alignment horizontal="left" vertical="top"/>
    </xf>
    <xf numFmtId="41" fontId="1" fillId="2" borderId="1" xfId="0" applyNumberFormat="1" applyFont="1" applyFill="1" applyBorder="1"/>
    <xf numFmtId="41" fontId="1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1" fillId="2" borderId="0" xfId="2" applyNumberFormat="1" applyFont="1" applyFill="1"/>
    <xf numFmtId="0" fontId="16" fillId="2" borderId="4" xfId="0" applyFont="1" applyFill="1" applyBorder="1" applyAlignment="1">
      <alignment horizontal="right"/>
    </xf>
    <xf numFmtId="0" fontId="1" fillId="2" borderId="8" xfId="0" applyFont="1" applyFill="1" applyBorder="1" applyAlignment="1">
      <alignment horizontal="left" vertical="top"/>
    </xf>
    <xf numFmtId="0" fontId="1" fillId="2" borderId="10" xfId="0" applyFont="1" applyFill="1" applyBorder="1" applyAlignment="1">
      <alignment horizontal="left" vertical="top"/>
    </xf>
    <xf numFmtId="0" fontId="13" fillId="2" borderId="12" xfId="0" applyFont="1" applyFill="1" applyBorder="1" applyAlignment="1">
      <alignment horizontal="left"/>
    </xf>
    <xf numFmtId="41" fontId="13" fillId="2" borderId="6" xfId="0" applyNumberFormat="1" applyFont="1" applyFill="1" applyBorder="1" applyAlignment="1">
      <alignment horizontal="center"/>
    </xf>
    <xf numFmtId="0" fontId="13" fillId="2" borderId="8" xfId="0" applyFont="1" applyFill="1" applyBorder="1" applyAlignment="1">
      <alignment horizontal="left"/>
    </xf>
    <xf numFmtId="41" fontId="13" fillId="2" borderId="2" xfId="0" applyNumberFormat="1" applyFont="1" applyFill="1" applyBorder="1" applyAlignment="1">
      <alignment horizontal="center"/>
    </xf>
    <xf numFmtId="0" fontId="13" fillId="2" borderId="10" xfId="0" applyFont="1" applyFill="1" applyBorder="1" applyAlignment="1">
      <alignment horizontal="left"/>
    </xf>
    <xf numFmtId="0" fontId="18" fillId="2" borderId="0" xfId="0" applyFont="1" applyFill="1"/>
    <xf numFmtId="41" fontId="1" fillId="5" borderId="0" xfId="0" applyNumberFormat="1" applyFont="1" applyFill="1"/>
    <xf numFmtId="41" fontId="1" fillId="5" borderId="2" xfId="0" applyNumberFormat="1" applyFont="1" applyFill="1" applyBorder="1"/>
    <xf numFmtId="41" fontId="1" fillId="5" borderId="9" xfId="0" applyNumberFormat="1" applyFont="1" applyFill="1" applyBorder="1"/>
    <xf numFmtId="41" fontId="1" fillId="5" borderId="11" xfId="0" applyNumberFormat="1" applyFont="1" applyFill="1" applyBorder="1"/>
    <xf numFmtId="41" fontId="1" fillId="5" borderId="6" xfId="0" applyNumberFormat="1" applyFont="1" applyFill="1" applyBorder="1"/>
    <xf numFmtId="41" fontId="1" fillId="5" borderId="13" xfId="0" applyNumberFormat="1" applyFont="1" applyFill="1" applyBorder="1"/>
    <xf numFmtId="41" fontId="1" fillId="5" borderId="1" xfId="0" applyNumberFormat="1" applyFont="1" applyFill="1" applyBorder="1"/>
    <xf numFmtId="41" fontId="1" fillId="5" borderId="0" xfId="0" applyNumberFormat="1" applyFont="1" applyFill="1" applyAlignment="1">
      <alignment horizontal="right"/>
    </xf>
    <xf numFmtId="41" fontId="4" fillId="5" borderId="1" xfId="0" applyNumberFormat="1" applyFont="1" applyFill="1" applyBorder="1"/>
    <xf numFmtId="41" fontId="13" fillId="5" borderId="0" xfId="0" applyNumberFormat="1" applyFont="1" applyFill="1" applyAlignment="1">
      <alignment horizontal="center"/>
    </xf>
    <xf numFmtId="41" fontId="7" fillId="5" borderId="2" xfId="0" applyNumberFormat="1" applyFont="1" applyFill="1" applyBorder="1" applyAlignment="1">
      <alignment horizontal="center"/>
    </xf>
    <xf numFmtId="41" fontId="7" fillId="5" borderId="9" xfId="0" applyNumberFormat="1" applyFont="1" applyFill="1" applyBorder="1" applyAlignment="1">
      <alignment horizontal="center"/>
    </xf>
    <xf numFmtId="41" fontId="7" fillId="5" borderId="0" xfId="0" applyNumberFormat="1" applyFont="1" applyFill="1" applyAlignment="1">
      <alignment horizontal="center"/>
    </xf>
    <xf numFmtId="41" fontId="7" fillId="5" borderId="11" xfId="0" applyNumberFormat="1" applyFont="1" applyFill="1" applyBorder="1" applyAlignment="1">
      <alignment horizontal="center"/>
    </xf>
    <xf numFmtId="41" fontId="7" fillId="5" borderId="6" xfId="0" applyNumberFormat="1" applyFont="1" applyFill="1" applyBorder="1" applyAlignment="1">
      <alignment horizontal="center"/>
    </xf>
    <xf numFmtId="41" fontId="7" fillId="5" borderId="13" xfId="0" applyNumberFormat="1" applyFont="1" applyFill="1" applyBorder="1" applyAlignment="1">
      <alignment horizontal="center"/>
    </xf>
    <xf numFmtId="41" fontId="7" fillId="5" borderId="1" xfId="0" applyNumberFormat="1" applyFont="1" applyFill="1" applyBorder="1"/>
    <xf numFmtId="41" fontId="1" fillId="5" borderId="7" xfId="0" applyNumberFormat="1" applyFont="1" applyFill="1" applyBorder="1"/>
    <xf numFmtId="41" fontId="4" fillId="5" borderId="2" xfId="0" applyNumberFormat="1" applyFont="1" applyFill="1" applyBorder="1" applyAlignment="1">
      <alignment horizontal="right"/>
    </xf>
    <xf numFmtId="41" fontId="4" fillId="5" borderId="1" xfId="0" applyNumberFormat="1" applyFont="1" applyFill="1" applyBorder="1" applyAlignment="1">
      <alignment horizontal="right"/>
    </xf>
    <xf numFmtId="164" fontId="4" fillId="5" borderId="3" xfId="0" applyNumberFormat="1" applyFont="1" applyFill="1" applyBorder="1" applyAlignment="1">
      <alignment horizontal="right"/>
    </xf>
    <xf numFmtId="41" fontId="4" fillId="5" borderId="0" xfId="0" applyNumberFormat="1" applyFont="1" applyFill="1" applyAlignment="1">
      <alignment horizontal="right"/>
    </xf>
    <xf numFmtId="0" fontId="0" fillId="5" borderId="0" xfId="0" applyFill="1"/>
    <xf numFmtId="0" fontId="1" fillId="5" borderId="0" xfId="0" applyFont="1" applyFill="1"/>
    <xf numFmtId="41" fontId="1" fillId="5" borderId="6" xfId="0" applyNumberFormat="1" applyFont="1" applyFill="1" applyBorder="1" applyAlignment="1">
      <alignment horizontal="right"/>
    </xf>
    <xf numFmtId="0" fontId="17" fillId="2" borderId="6" xfId="0" applyFont="1" applyFill="1" applyBorder="1" applyAlignment="1">
      <alignment horizontal="left" vertical="top" wrapText="1"/>
    </xf>
    <xf numFmtId="0" fontId="12" fillId="2" borderId="0" xfId="1" applyFont="1" applyFill="1" applyAlignment="1">
      <alignment vertical="top"/>
    </xf>
    <xf numFmtId="10" fontId="1" fillId="2" borderId="0" xfId="0" applyNumberFormat="1" applyFont="1" applyFill="1"/>
    <xf numFmtId="0" fontId="1" fillId="2" borderId="8" xfId="0" applyFont="1" applyFill="1" applyBorder="1"/>
    <xf numFmtId="41" fontId="1" fillId="2" borderId="2" xfId="0" applyNumberFormat="1" applyFont="1" applyFill="1" applyBorder="1" applyAlignment="1">
      <alignment horizontal="right"/>
    </xf>
    <xf numFmtId="0" fontId="1" fillId="2" borderId="10" xfId="0" applyFont="1" applyFill="1" applyBorder="1"/>
    <xf numFmtId="0" fontId="1" fillId="2" borderId="12" xfId="0" applyFont="1" applyFill="1" applyBorder="1"/>
    <xf numFmtId="0" fontId="9" fillId="2" borderId="0" xfId="0" applyFont="1" applyFill="1"/>
    <xf numFmtId="0" fontId="20" fillId="2" borderId="0" xfId="0" applyFont="1" applyFill="1"/>
    <xf numFmtId="9" fontId="19" fillId="3" borderId="0" xfId="0" applyNumberFormat="1" applyFont="1" applyFill="1"/>
    <xf numFmtId="9" fontId="10" fillId="2" borderId="0" xfId="0" applyNumberFormat="1" applyFont="1" applyFill="1"/>
    <xf numFmtId="166" fontId="10" fillId="2" borderId="0" xfId="0" applyNumberFormat="1" applyFont="1" applyFill="1"/>
    <xf numFmtId="168" fontId="10" fillId="2" borderId="0" xfId="3" applyNumberFormat="1" applyFont="1" applyFill="1" applyAlignment="1"/>
    <xf numFmtId="168" fontId="10" fillId="5" borderId="0" xfId="0" applyNumberFormat="1" applyFont="1" applyFill="1"/>
    <xf numFmtId="168" fontId="10" fillId="5" borderId="0" xfId="0" applyNumberFormat="1" applyFont="1" applyFill="1" applyAlignment="1">
      <alignment horizontal="right"/>
    </xf>
    <xf numFmtId="168" fontId="10" fillId="2" borderId="0" xfId="0" applyNumberFormat="1" applyFont="1" applyFill="1"/>
    <xf numFmtId="168" fontId="10" fillId="5" borderId="0" xfId="3" applyNumberFormat="1" applyFont="1" applyFill="1" applyAlignment="1"/>
    <xf numFmtId="166" fontId="10" fillId="2" borderId="0" xfId="0" applyNumberFormat="1" applyFont="1" applyFill="1" applyAlignment="1">
      <alignment horizontal="right"/>
    </xf>
    <xf numFmtId="166" fontId="10" fillId="5" borderId="0" xfId="0" applyNumberFormat="1" applyFont="1" applyFill="1"/>
    <xf numFmtId="0" fontId="21" fillId="2" borderId="0" xfId="0" applyFont="1" applyFill="1"/>
    <xf numFmtId="168" fontId="21" fillId="2" borderId="0" xfId="3" applyNumberFormat="1" applyFont="1" applyFill="1" applyAlignment="1"/>
    <xf numFmtId="168" fontId="21" fillId="5" borderId="0" xfId="3" applyNumberFormat="1" applyFont="1" applyFill="1" applyAlignment="1">
      <alignment horizontal="right"/>
    </xf>
    <xf numFmtId="171" fontId="10" fillId="2" borderId="0" xfId="0" applyNumberFormat="1" applyFont="1" applyFill="1"/>
    <xf numFmtId="0" fontId="3" fillId="2" borderId="4" xfId="0" applyFont="1" applyFill="1" applyBorder="1" applyAlignment="1">
      <alignment horizontal="left"/>
    </xf>
    <xf numFmtId="0" fontId="7" fillId="2" borderId="0" xfId="0" applyFont="1" applyFill="1" applyAlignment="1">
      <alignment vertical="top"/>
    </xf>
    <xf numFmtId="0" fontId="12" fillId="0" borderId="0" xfId="1" applyFont="1" applyFill="1"/>
    <xf numFmtId="0" fontId="10" fillId="2" borderId="2" xfId="0" applyFont="1" applyFill="1" applyBorder="1"/>
    <xf numFmtId="41" fontId="10" fillId="2" borderId="2" xfId="0" applyNumberFormat="1" applyFont="1" applyFill="1" applyBorder="1"/>
    <xf numFmtId="168" fontId="10" fillId="2" borderId="2" xfId="0" applyNumberFormat="1" applyFont="1" applyFill="1" applyBorder="1"/>
    <xf numFmtId="166" fontId="10" fillId="2" borderId="0" xfId="2" applyNumberFormat="1" applyFont="1" applyFill="1"/>
    <xf numFmtId="10" fontId="1" fillId="2" borderId="0" xfId="2" applyNumberFormat="1" applyFont="1" applyFill="1" applyAlignment="1">
      <alignment horizontal="right"/>
    </xf>
    <xf numFmtId="0" fontId="11" fillId="2" borderId="0" xfId="1" applyFill="1"/>
    <xf numFmtId="43" fontId="10" fillId="2" borderId="0" xfId="0" applyNumberFormat="1" applyFont="1" applyFill="1"/>
    <xf numFmtId="169" fontId="4" fillId="2" borderId="1" xfId="0" applyNumberFormat="1" applyFont="1" applyFill="1" applyBorder="1"/>
    <xf numFmtId="170" fontId="7" fillId="2" borderId="2" xfId="0" applyNumberFormat="1" applyFont="1" applyFill="1" applyBorder="1"/>
    <xf numFmtId="170" fontId="7" fillId="2" borderId="2" xfId="0" applyNumberFormat="1" applyFont="1" applyFill="1" applyBorder="1" applyAlignment="1">
      <alignment horizontal="right"/>
    </xf>
    <xf numFmtId="165" fontId="7" fillId="2" borderId="2" xfId="0" applyNumberFormat="1" applyFont="1" applyFill="1" applyBorder="1" applyAlignment="1">
      <alignment horizontal="right"/>
    </xf>
    <xf numFmtId="165" fontId="7" fillId="2" borderId="2" xfId="0" applyNumberFormat="1" applyFont="1" applyFill="1" applyBorder="1"/>
    <xf numFmtId="0" fontId="13" fillId="2" borderId="0" xfId="0" applyFont="1" applyFill="1"/>
    <xf numFmtId="169" fontId="13" fillId="2" borderId="0" xfId="0" applyNumberFormat="1" applyFont="1" applyFill="1"/>
    <xf numFmtId="0" fontId="13" fillId="2" borderId="0" xfId="0" applyFont="1" applyFill="1" applyAlignment="1">
      <alignment horizontal="right"/>
    </xf>
    <xf numFmtId="165" fontId="1" fillId="2" borderId="0" xfId="3" applyNumberFormat="1" applyFont="1" applyFill="1" applyAlignment="1">
      <alignment horizontal="right"/>
    </xf>
    <xf numFmtId="165" fontId="1" fillId="2" borderId="0" xfId="3" applyNumberFormat="1" applyFont="1" applyFill="1" applyAlignment="1"/>
    <xf numFmtId="169" fontId="1" fillId="2" borderId="0" xfId="0" applyNumberFormat="1" applyFont="1" applyFill="1"/>
    <xf numFmtId="170" fontId="7" fillId="2" borderId="1" xfId="0" applyNumberFormat="1" applyFont="1" applyFill="1" applyBorder="1"/>
    <xf numFmtId="168" fontId="13" fillId="2" borderId="1" xfId="0" applyNumberFormat="1" applyFont="1" applyFill="1" applyBorder="1" applyAlignment="1">
      <alignment horizontal="right"/>
    </xf>
    <xf numFmtId="165" fontId="7" fillId="2" borderId="1" xfId="0" applyNumberFormat="1" applyFont="1" applyFill="1" applyBorder="1" applyAlignment="1">
      <alignment horizontal="right"/>
    </xf>
    <xf numFmtId="165" fontId="13" fillId="2" borderId="1" xfId="0" applyNumberFormat="1" applyFont="1" applyFill="1" applyBorder="1" applyAlignment="1">
      <alignment horizontal="right"/>
    </xf>
    <xf numFmtId="165" fontId="7" fillId="2" borderId="1" xfId="0" applyNumberFormat="1" applyFont="1" applyFill="1" applyBorder="1"/>
    <xf numFmtId="168" fontId="13" fillId="2" borderId="0" xfId="0" applyNumberFormat="1" applyFont="1" applyFill="1" applyAlignment="1">
      <alignment horizontal="right"/>
    </xf>
    <xf numFmtId="168" fontId="7" fillId="2" borderId="1" xfId="0" applyNumberFormat="1" applyFont="1" applyFill="1" applyBorder="1" applyAlignment="1">
      <alignment horizontal="right"/>
    </xf>
    <xf numFmtId="172" fontId="1" fillId="2" borderId="0" xfId="0" applyNumberFormat="1" applyFont="1" applyFill="1"/>
    <xf numFmtId="172" fontId="4" fillId="2" borderId="1" xfId="0" applyNumberFormat="1" applyFont="1" applyFill="1" applyBorder="1"/>
    <xf numFmtId="172" fontId="4" fillId="2" borderId="0" xfId="0" applyNumberFormat="1" applyFont="1" applyFill="1"/>
    <xf numFmtId="172" fontId="1" fillId="2" borderId="0" xfId="0" applyNumberFormat="1" applyFont="1" applyFill="1" applyAlignment="1">
      <alignment horizontal="right"/>
    </xf>
    <xf numFmtId="166" fontId="1" fillId="2" borderId="0" xfId="2" applyNumberFormat="1" applyFont="1" applyFill="1"/>
    <xf numFmtId="0" fontId="2" fillId="2" borderId="0" xfId="4" applyFont="1" applyFill="1" applyAlignment="1"/>
    <xf numFmtId="0" fontId="1" fillId="2" borderId="0" xfId="4" applyFont="1" applyFill="1" applyAlignment="1"/>
    <xf numFmtId="10" fontId="1" fillId="2" borderId="0" xfId="4" applyNumberFormat="1" applyFont="1" applyFill="1" applyAlignment="1"/>
    <xf numFmtId="9" fontId="1" fillId="2" borderId="0" xfId="4" applyNumberFormat="1" applyFont="1" applyFill="1" applyAlignment="1"/>
    <xf numFmtId="0" fontId="4" fillId="2" borderId="0" xfId="4" applyFont="1" applyFill="1" applyAlignment="1"/>
    <xf numFmtId="166" fontId="4" fillId="2" borderId="0" xfId="4" applyNumberFormat="1" applyFont="1" applyFill="1" applyAlignment="1"/>
    <xf numFmtId="166" fontId="1" fillId="2" borderId="0" xfId="4" applyNumberFormat="1" applyFont="1" applyFill="1" applyAlignment="1"/>
    <xf numFmtId="0" fontId="1" fillId="2" borderId="0" xfId="4" applyFont="1" applyFill="1">
      <alignment vertical="top"/>
    </xf>
    <xf numFmtId="41" fontId="13" fillId="2" borderId="0" xfId="0" applyNumberFormat="1" applyFont="1" applyFill="1"/>
    <xf numFmtId="41" fontId="13" fillId="2" borderId="0" xfId="0" applyNumberFormat="1" applyFont="1" applyFill="1" applyAlignment="1">
      <alignment horizontal="left"/>
    </xf>
    <xf numFmtId="41" fontId="1" fillId="2" borderId="0" xfId="4" applyNumberFormat="1" applyFont="1" applyFill="1" applyAlignment="1"/>
    <xf numFmtId="41" fontId="1" fillId="2" borderId="0" xfId="4" applyNumberFormat="1" applyFont="1" applyFill="1" applyAlignment="1">
      <alignment horizontal="right"/>
    </xf>
    <xf numFmtId="41" fontId="1" fillId="2" borderId="0" xfId="4" applyNumberFormat="1" applyFont="1" applyFill="1">
      <alignment vertical="top"/>
    </xf>
    <xf numFmtId="41" fontId="4" fillId="2" borderId="14" xfId="4" applyNumberFormat="1" applyFont="1" applyFill="1" applyBorder="1" applyAlignment="1"/>
    <xf numFmtId="41" fontId="1" fillId="2" borderId="2" xfId="4" applyNumberFormat="1" applyFont="1" applyFill="1" applyBorder="1">
      <alignment vertical="top"/>
    </xf>
    <xf numFmtId="166" fontId="1" fillId="2" borderId="0" xfId="2" applyNumberFormat="1" applyFont="1" applyFill="1" applyAlignment="1"/>
    <xf numFmtId="166" fontId="4" fillId="2" borderId="14" xfId="2" applyNumberFormat="1" applyFont="1" applyFill="1" applyBorder="1" applyAlignment="1"/>
    <xf numFmtId="170" fontId="5" fillId="3" borderId="0" xfId="4" applyNumberFormat="1" applyFont="1" applyFill="1" applyAlignment="1"/>
    <xf numFmtId="170" fontId="1" fillId="2" borderId="0" xfId="4" applyNumberFormat="1" applyFont="1" applyFill="1" applyAlignment="1"/>
    <xf numFmtId="170" fontId="3" fillId="2" borderId="0" xfId="4" applyNumberFormat="1" applyFont="1" applyFill="1" applyAlignment="1"/>
    <xf numFmtId="170" fontId="3" fillId="2" borderId="15" xfId="4" applyNumberFormat="1" applyFont="1" applyFill="1" applyBorder="1" applyAlignment="1"/>
    <xf numFmtId="173" fontId="1" fillId="2" borderId="0" xfId="4" applyNumberFormat="1" applyFont="1" applyFill="1" applyAlignment="1"/>
    <xf numFmtId="173" fontId="3" fillId="2" borderId="15" xfId="4" applyNumberFormat="1" applyFont="1" applyFill="1" applyBorder="1" applyAlignment="1"/>
    <xf numFmtId="170" fontId="1" fillId="2" borderId="0" xfId="4" quotePrefix="1" applyNumberFormat="1" applyFont="1" applyFill="1" applyAlignment="1"/>
    <xf numFmtId="170" fontId="3" fillId="2" borderId="2" xfId="4" applyNumberFormat="1" applyFont="1" applyFill="1" applyBorder="1" applyAlignment="1"/>
    <xf numFmtId="0" fontId="13" fillId="2" borderId="0" xfId="4" applyFont="1" applyFill="1">
      <alignment vertical="top"/>
    </xf>
    <xf numFmtId="166" fontId="1" fillId="2" borderId="0" xfId="5" applyNumberFormat="1" applyFont="1" applyFill="1" applyAlignment="1"/>
    <xf numFmtId="173" fontId="7" fillId="2" borderId="2" xfId="4" applyNumberFormat="1" applyFont="1" applyFill="1" applyBorder="1" applyAlignment="1"/>
    <xf numFmtId="0" fontId="27" fillId="2" borderId="0" xfId="0" applyFont="1" applyFill="1"/>
    <xf numFmtId="41" fontId="27" fillId="2" borderId="0" xfId="0" applyNumberFormat="1" applyFont="1" applyFill="1" applyAlignment="1">
      <alignment horizontal="right"/>
    </xf>
    <xf numFmtId="9" fontId="5" fillId="6" borderId="0" xfId="4" applyNumberFormat="1" applyFont="1" applyFill="1" applyAlignment="1">
      <alignment horizontal="center"/>
    </xf>
    <xf numFmtId="9" fontId="7" fillId="6" borderId="16" xfId="4" applyNumberFormat="1" applyFont="1" applyFill="1" applyBorder="1" applyAlignment="1">
      <alignment horizontal="right"/>
    </xf>
    <xf numFmtId="41" fontId="1" fillId="2" borderId="0" xfId="5" applyNumberFormat="1" applyFont="1" applyFill="1" applyAlignment="1"/>
    <xf numFmtId="173" fontId="1" fillId="2" borderId="2" xfId="4" applyNumberFormat="1" applyFont="1" applyFill="1" applyBorder="1" applyAlignment="1"/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2" fillId="2" borderId="0" xfId="1" quotePrefix="1" applyFont="1" applyFill="1"/>
    <xf numFmtId="2" fontId="1" fillId="2" borderId="0" xfId="0" applyNumberFormat="1" applyFont="1" applyFill="1"/>
    <xf numFmtId="43" fontId="1" fillId="2" borderId="0" xfId="0" applyNumberFormat="1" applyFont="1" applyFill="1"/>
    <xf numFmtId="0" fontId="1" fillId="7" borderId="0" xfId="0" applyFont="1" applyFill="1"/>
    <xf numFmtId="41" fontId="1" fillId="7" borderId="0" xfId="0" applyNumberFormat="1" applyFont="1" applyFill="1"/>
    <xf numFmtId="10" fontId="1" fillId="7" borderId="0" xfId="2" applyNumberFormat="1" applyFont="1" applyFill="1"/>
    <xf numFmtId="0" fontId="1" fillId="7" borderId="0" xfId="0" applyFont="1" applyFill="1" applyAlignment="1">
      <alignment wrapText="1"/>
    </xf>
    <xf numFmtId="9" fontId="1" fillId="7" borderId="0" xfId="2" applyFont="1" applyFill="1"/>
    <xf numFmtId="166" fontId="13" fillId="7" borderId="0" xfId="0" applyNumberFormat="1" applyFont="1" applyFill="1"/>
    <xf numFmtId="166" fontId="13" fillId="7" borderId="0" xfId="2" applyNumberFormat="1" applyFont="1" applyFill="1" applyAlignment="1">
      <alignment vertical="top"/>
    </xf>
    <xf numFmtId="166" fontId="1" fillId="7" borderId="0" xfId="2" applyNumberFormat="1" applyFont="1" applyFill="1"/>
    <xf numFmtId="166" fontId="1" fillId="7" borderId="0" xfId="0" applyNumberFormat="1" applyFont="1" applyFill="1"/>
    <xf numFmtId="0" fontId="28" fillId="2" borderId="0" xfId="0" applyFont="1" applyFill="1"/>
    <xf numFmtId="0" fontId="29" fillId="2" borderId="0" xfId="0" applyFont="1" applyFill="1" applyAlignment="1">
      <alignment horizontal="right"/>
    </xf>
    <xf numFmtId="0" fontId="30" fillId="3" borderId="0" xfId="0" applyFont="1" applyFill="1" applyAlignment="1">
      <alignment horizontal="right"/>
    </xf>
    <xf numFmtId="41" fontId="30" fillId="3" borderId="0" xfId="0" applyNumberFormat="1" applyFont="1" applyFill="1" applyAlignment="1">
      <alignment horizontal="right"/>
    </xf>
    <xf numFmtId="0" fontId="31" fillId="2" borderId="0" xfId="0" applyFont="1" applyFill="1"/>
    <xf numFmtId="0" fontId="32" fillId="2" borderId="0" xfId="0" applyFont="1" applyFill="1" applyAlignment="1">
      <alignment vertical="top"/>
    </xf>
    <xf numFmtId="37" fontId="32" fillId="2" borderId="0" xfId="0" applyNumberFormat="1" applyFont="1" applyFill="1" applyAlignment="1">
      <alignment vertical="top"/>
    </xf>
    <xf numFmtId="167" fontId="32" fillId="5" borderId="0" xfId="3" applyNumberFormat="1" applyFont="1" applyFill="1" applyAlignment="1">
      <alignment vertical="top"/>
    </xf>
    <xf numFmtId="0" fontId="33" fillId="2" borderId="14" xfId="0" applyFont="1" applyFill="1" applyBorder="1"/>
    <xf numFmtId="165" fontId="33" fillId="2" borderId="14" xfId="0" applyNumberFormat="1" applyFont="1" applyFill="1" applyBorder="1"/>
    <xf numFmtId="0" fontId="29" fillId="2" borderId="0" xfId="0" applyFont="1" applyFill="1"/>
    <xf numFmtId="0" fontId="33" fillId="7" borderId="0" xfId="0" applyFont="1" applyFill="1" applyAlignment="1">
      <alignment vertical="top"/>
    </xf>
    <xf numFmtId="0" fontId="32" fillId="7" borderId="0" xfId="0" applyFont="1" applyFill="1" applyAlignment="1">
      <alignment vertical="top"/>
    </xf>
    <xf numFmtId="168" fontId="32" fillId="7" borderId="0" xfId="3" applyNumberFormat="1" applyFont="1" applyFill="1" applyAlignment="1">
      <alignment vertical="top"/>
    </xf>
    <xf numFmtId="0" fontId="32" fillId="7" borderId="0" xfId="0" applyFont="1" applyFill="1"/>
    <xf numFmtId="165" fontId="33" fillId="5" borderId="14" xfId="0" applyNumberFormat="1" applyFont="1" applyFill="1" applyBorder="1"/>
    <xf numFmtId="0" fontId="9" fillId="2" borderId="0" xfId="0" applyFont="1" applyFill="1" applyAlignment="1">
      <alignment vertical="top" wrapText="1"/>
    </xf>
    <xf numFmtId="0" fontId="4" fillId="7" borderId="0" xfId="0" applyFont="1" applyFill="1"/>
    <xf numFmtId="0" fontId="17" fillId="2" borderId="6" xfId="0" applyFont="1" applyFill="1" applyBorder="1" applyAlignment="1">
      <alignment horizontal="left" vertical="top"/>
    </xf>
    <xf numFmtId="165" fontId="1" fillId="2" borderId="0" xfId="0" applyNumberFormat="1" applyFont="1" applyFill="1"/>
    <xf numFmtId="41" fontId="1" fillId="7" borderId="0" xfId="0" applyNumberFormat="1" applyFont="1" applyFill="1" applyAlignment="1">
      <alignment horizontal="right"/>
    </xf>
    <xf numFmtId="0" fontId="11" fillId="2" borderId="0" xfId="1" quotePrefix="1" applyFill="1" applyAlignment="1">
      <alignment vertical="top"/>
    </xf>
    <xf numFmtId="41" fontId="1" fillId="5" borderId="2" xfId="0" applyNumberFormat="1" applyFont="1" applyFill="1" applyBorder="1" applyAlignment="1">
      <alignment horizontal="right"/>
    </xf>
    <xf numFmtId="41" fontId="1" fillId="5" borderId="9" xfId="0" applyNumberFormat="1" applyFont="1" applyFill="1" applyBorder="1" applyAlignment="1">
      <alignment horizontal="right"/>
    </xf>
    <xf numFmtId="41" fontId="1" fillId="5" borderId="11" xfId="0" applyNumberFormat="1" applyFont="1" applyFill="1" applyBorder="1" applyAlignment="1">
      <alignment horizontal="right"/>
    </xf>
    <xf numFmtId="41" fontId="1" fillId="5" borderId="13" xfId="0" applyNumberFormat="1" applyFont="1" applyFill="1" applyBorder="1" applyAlignment="1">
      <alignment horizontal="right"/>
    </xf>
    <xf numFmtId="165" fontId="7" fillId="5" borderId="2" xfId="0" applyNumberFormat="1" applyFont="1" applyFill="1" applyBorder="1"/>
    <xf numFmtId="165" fontId="1" fillId="5" borderId="0" xfId="3" applyNumberFormat="1" applyFont="1" applyFill="1" applyAlignment="1"/>
    <xf numFmtId="165" fontId="7" fillId="5" borderId="1" xfId="0" applyNumberFormat="1" applyFont="1" applyFill="1" applyBorder="1"/>
    <xf numFmtId="169" fontId="1" fillId="5" borderId="0" xfId="0" applyNumberFormat="1" applyFont="1" applyFill="1"/>
    <xf numFmtId="172" fontId="1" fillId="5" borderId="0" xfId="0" applyNumberFormat="1" applyFont="1" applyFill="1"/>
    <xf numFmtId="172" fontId="4" fillId="5" borderId="1" xfId="0" applyNumberFormat="1" applyFont="1" applyFill="1" applyBorder="1"/>
    <xf numFmtId="164" fontId="1" fillId="2" borderId="0" xfId="0" applyNumberFormat="1" applyFont="1" applyFill="1"/>
    <xf numFmtId="41" fontId="4" fillId="2" borderId="2" xfId="0" applyNumberFormat="1" applyFont="1" applyFill="1" applyBorder="1"/>
    <xf numFmtId="41" fontId="3" fillId="2" borderId="0" xfId="0" applyNumberFormat="1" applyFont="1" applyFill="1" applyAlignment="1">
      <alignment horizontal="center"/>
    </xf>
    <xf numFmtId="0" fontId="17" fillId="2" borderId="0" xfId="0" applyFont="1" applyFill="1" applyAlignment="1">
      <alignment horizontal="left" vertical="top"/>
    </xf>
    <xf numFmtId="0" fontId="1" fillId="2" borderId="17" xfId="0" applyFont="1" applyFill="1" applyBorder="1"/>
    <xf numFmtId="41" fontId="1" fillId="2" borderId="17" xfId="0" applyNumberFormat="1" applyFont="1" applyFill="1" applyBorder="1"/>
    <xf numFmtId="0" fontId="17" fillId="2" borderId="17" xfId="0" applyFont="1" applyFill="1" applyBorder="1" applyAlignment="1">
      <alignment horizontal="left" vertical="top"/>
    </xf>
    <xf numFmtId="43" fontId="4" fillId="2" borderId="2" xfId="0" applyNumberFormat="1" applyFont="1" applyFill="1" applyBorder="1"/>
    <xf numFmtId="41" fontId="13" fillId="2" borderId="0" xfId="4" applyNumberFormat="1" applyFont="1" applyFill="1">
      <alignment vertical="top"/>
    </xf>
    <xf numFmtId="164" fontId="4" fillId="2" borderId="2" xfId="0" applyNumberFormat="1" applyFont="1" applyFill="1" applyBorder="1"/>
    <xf numFmtId="170" fontId="4" fillId="2" borderId="0" xfId="0" applyNumberFormat="1" applyFont="1" applyFill="1"/>
    <xf numFmtId="2" fontId="4" fillId="2" borderId="0" xfId="0" applyNumberFormat="1" applyFont="1" applyFill="1"/>
    <xf numFmtId="2" fontId="1" fillId="2" borderId="0" xfId="2" applyNumberFormat="1" applyFont="1" applyFill="1"/>
    <xf numFmtId="0" fontId="35" fillId="3" borderId="0" xfId="0" applyFont="1" applyFill="1" applyAlignment="1">
      <alignment vertical="center"/>
    </xf>
    <xf numFmtId="0" fontId="4" fillId="2" borderId="0" xfId="0" applyFont="1" applyFill="1" applyAlignment="1">
      <alignment horizontal="left"/>
    </xf>
    <xf numFmtId="170" fontId="7" fillId="2" borderId="0" xfId="4" applyNumberFormat="1" applyFont="1" applyFill="1" applyAlignment="1"/>
    <xf numFmtId="166" fontId="4" fillId="2" borderId="0" xfId="2" applyNumberFormat="1" applyFont="1" applyFill="1"/>
    <xf numFmtId="166" fontId="7" fillId="6" borderId="16" xfId="2" applyNumberFormat="1" applyFont="1" applyFill="1" applyBorder="1" applyAlignment="1">
      <alignment horizontal="right"/>
    </xf>
    <xf numFmtId="0" fontId="7" fillId="2" borderId="0" xfId="4" applyFont="1" applyFill="1">
      <alignment vertical="top"/>
    </xf>
    <xf numFmtId="174" fontId="1" fillId="2" borderId="0" xfId="4" applyNumberFormat="1" applyFont="1" applyFill="1" applyAlignment="1"/>
    <xf numFmtId="175" fontId="1" fillId="2" borderId="0" xfId="0" applyNumberFormat="1" applyFont="1" applyFill="1"/>
    <xf numFmtId="170" fontId="4" fillId="2" borderId="2" xfId="4" applyNumberFormat="1" applyFont="1" applyFill="1" applyBorder="1" applyAlignment="1"/>
    <xf numFmtId="173" fontId="4" fillId="2" borderId="2" xfId="4" applyNumberFormat="1" applyFont="1" applyFill="1" applyBorder="1" applyAlignment="1"/>
    <xf numFmtId="170" fontId="4" fillId="2" borderId="0" xfId="4" applyNumberFormat="1" applyFont="1" applyFill="1" applyAlignment="1"/>
    <xf numFmtId="173" fontId="4" fillId="2" borderId="0" xfId="4" applyNumberFormat="1" applyFont="1" applyFill="1" applyAlignment="1"/>
    <xf numFmtId="173" fontId="3" fillId="2" borderId="0" xfId="4" applyNumberFormat="1" applyFont="1" applyFill="1" applyAlignment="1"/>
    <xf numFmtId="170" fontId="13" fillId="2" borderId="0" xfId="4" applyNumberFormat="1" applyFont="1" applyFill="1" applyAlignment="1"/>
    <xf numFmtId="170" fontId="7" fillId="2" borderId="15" xfId="4" applyNumberFormat="1" applyFont="1" applyFill="1" applyBorder="1" applyAlignment="1"/>
    <xf numFmtId="173" fontId="7" fillId="2" borderId="15" xfId="4" applyNumberFormat="1" applyFont="1" applyFill="1" applyBorder="1" applyAlignment="1"/>
    <xf numFmtId="176" fontId="13" fillId="2" borderId="0" xfId="4" applyNumberFormat="1" applyFont="1" applyFill="1" applyAlignment="1"/>
    <xf numFmtId="166" fontId="4" fillId="2" borderId="6" xfId="2" applyNumberFormat="1" applyFont="1" applyFill="1" applyBorder="1"/>
    <xf numFmtId="166" fontId="4" fillId="2" borderId="11" xfId="2" applyNumberFormat="1" applyFont="1" applyFill="1" applyBorder="1"/>
    <xf numFmtId="177" fontId="4" fillId="2" borderId="0" xfId="2" applyNumberFormat="1" applyFont="1" applyFill="1" applyAlignment="1">
      <alignment horizontal="right"/>
    </xf>
    <xf numFmtId="177" fontId="4" fillId="2" borderId="0" xfId="2" applyNumberFormat="1" applyFont="1" applyFill="1"/>
    <xf numFmtId="0" fontId="35" fillId="3" borderId="0" xfId="0" applyFont="1" applyFill="1"/>
    <xf numFmtId="0" fontId="35" fillId="3" borderId="0" xfId="0" applyFont="1" applyFill="1" applyAlignment="1">
      <alignment horizontal="center"/>
    </xf>
    <xf numFmtId="0" fontId="4" fillId="2" borderId="19" xfId="0" applyFont="1" applyFill="1" applyBorder="1"/>
    <xf numFmtId="2" fontId="4" fillId="2" borderId="19" xfId="0" applyNumberFormat="1" applyFont="1" applyFill="1" applyBorder="1"/>
    <xf numFmtId="0" fontId="4" fillId="2" borderId="20" xfId="0" applyFont="1" applyFill="1" applyBorder="1"/>
    <xf numFmtId="2" fontId="4" fillId="2" borderId="20" xfId="0" applyNumberFormat="1" applyFont="1" applyFill="1" applyBorder="1"/>
    <xf numFmtId="0" fontId="4" fillId="2" borderId="18" xfId="0" applyFont="1" applyFill="1" applyBorder="1"/>
    <xf numFmtId="2" fontId="4" fillId="2" borderId="18" xfId="0" applyNumberFormat="1" applyFont="1" applyFill="1" applyBorder="1"/>
    <xf numFmtId="3" fontId="1" fillId="2" borderId="0" xfId="0" applyNumberFormat="1" applyFont="1" applyFill="1"/>
    <xf numFmtId="10" fontId="1" fillId="5" borderId="0" xfId="2" applyNumberFormat="1" applyFont="1" applyFill="1"/>
    <xf numFmtId="166" fontId="1" fillId="5" borderId="0" xfId="2" applyNumberFormat="1" applyFont="1" applyFill="1"/>
    <xf numFmtId="41" fontId="3" fillId="2" borderId="4" xfId="0" applyNumberFormat="1" applyFont="1" applyFill="1" applyBorder="1" applyAlignment="1">
      <alignment horizontal="center"/>
    </xf>
    <xf numFmtId="0" fontId="26" fillId="3" borderId="0" xfId="7" applyNumberFormat="1" applyFont="1" applyFill="1" applyBorder="1" applyAlignment="1">
      <alignment horizontal="center"/>
    </xf>
    <xf numFmtId="0" fontId="3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1" fontId="3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0" fontId="3" fillId="2" borderId="5" xfId="0" applyFont="1" applyFill="1" applyBorder="1" applyAlignment="1">
      <alignment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wrapText="1"/>
    </xf>
    <xf numFmtId="0" fontId="9" fillId="2" borderId="2" xfId="0" applyFont="1" applyFill="1" applyBorder="1" applyAlignment="1">
      <alignment horizontal="center" vertical="top" wrapText="1"/>
    </xf>
    <xf numFmtId="0" fontId="9" fillId="2" borderId="0" xfId="0" applyFont="1" applyFill="1" applyAlignment="1">
      <alignment horizontal="center" vertical="top" wrapText="1"/>
    </xf>
  </cellXfs>
  <cellStyles count="8">
    <cellStyle name="Comma" xfId="3" builtinId="3"/>
    <cellStyle name="Comma 2" xfId="5" xr:uid="{FB9F976D-E482-4A5B-8A74-C21AE939A3A3}"/>
    <cellStyle name="Hyperlink" xfId="1" builtinId="8"/>
    <cellStyle name="Normal" xfId="0" builtinId="0"/>
    <cellStyle name="Normal 2" xfId="4" xr:uid="{A10EABCB-2A14-4A8C-87A3-AC6B57272E94}"/>
    <cellStyle name="Normal_Project Accel Valuation v56" xfId="7" xr:uid="{B483E7DE-9CCB-45E6-A9D9-541F3516730C}"/>
    <cellStyle name="Percent" xfId="2" builtinId="5"/>
    <cellStyle name="Percent 2" xfId="6" xr:uid="{3ACE0F50-65AE-407F-A6ED-2815638A665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22</xdr:row>
      <xdr:rowOff>0</xdr:rowOff>
    </xdr:from>
    <xdr:to>
      <xdr:col>9</xdr:col>
      <xdr:colOff>476250</xdr:colOff>
      <xdr:row>47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C51B8C-D94A-5C29-8FDA-1BD216D3D1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3419475"/>
          <a:ext cx="5943600" cy="384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dps.psx.com.pk/company/ILP" TargetMode="External"/><Relationship Id="rId3" Type="http://schemas.openxmlformats.org/officeDocument/2006/relationships/hyperlink" Target="https://dps.psx.com.pk/company/ILP" TargetMode="External"/><Relationship Id="rId7" Type="http://schemas.openxmlformats.org/officeDocument/2006/relationships/hyperlink" Target="https://www.worldgovernmentbonds.com/bond-historical-data/pakistan/10-years/" TargetMode="External"/><Relationship Id="rId2" Type="http://schemas.openxmlformats.org/officeDocument/2006/relationships/hyperlink" Target="https://tradingeconomics.com/pakistan/corporate-tax-rate" TargetMode="External"/><Relationship Id="rId1" Type="http://schemas.openxmlformats.org/officeDocument/2006/relationships/hyperlink" Target="https://scstrade.com/stockscreening/SS_CompanySnapShot.aspx?symbol=ILP" TargetMode="External"/><Relationship Id="rId6" Type="http://schemas.openxmlformats.org/officeDocument/2006/relationships/hyperlink" Target="https://www.worldgovernmentbonds.com/bond-historical-data/pakistan/5-years/" TargetMode="External"/><Relationship Id="rId5" Type="http://schemas.openxmlformats.org/officeDocument/2006/relationships/hyperlink" Target="https://thedocs.worldbank.org/en/doc/5d1783db09a0e09d15bbcea8ef0cec0b-0500052021/related/mpo-pak.pdf" TargetMode="External"/><Relationship Id="rId4" Type="http://schemas.openxmlformats.org/officeDocument/2006/relationships/hyperlink" Target="https://www.statista.com/statistics/383760/inflation-rate-in-pakistan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99F22-7BC3-4850-B4FD-8A177D0C06B7}">
  <dimension ref="B4:C23"/>
  <sheetViews>
    <sheetView workbookViewId="0"/>
  </sheetViews>
  <sheetFormatPr defaultRowHeight="12"/>
  <cols>
    <col min="1" max="1" width="2" style="1" customWidth="1"/>
    <col min="2" max="2" width="25.28515625" style="180" customWidth="1"/>
    <col min="3" max="3" width="21" style="1" bestFit="1" customWidth="1"/>
    <col min="4" max="16384" width="9.140625" style="1"/>
  </cols>
  <sheetData>
    <row r="4" spans="2:3" ht="18">
      <c r="B4" s="179" t="s">
        <v>0</v>
      </c>
    </row>
    <row r="5" spans="2:3">
      <c r="B5" s="180" t="s">
        <v>1</v>
      </c>
      <c r="C5" s="33" t="s">
        <v>2</v>
      </c>
    </row>
    <row r="6" spans="2:3">
      <c r="B6" s="180" t="s">
        <v>3</v>
      </c>
      <c r="C6" s="181" t="s">
        <v>4</v>
      </c>
    </row>
    <row r="7" spans="2:3">
      <c r="B7" s="180" t="s">
        <v>5</v>
      </c>
      <c r="C7" s="181" t="s">
        <v>6</v>
      </c>
    </row>
    <row r="8" spans="2:3">
      <c r="B8" s="180" t="s">
        <v>7</v>
      </c>
      <c r="C8" s="181" t="s">
        <v>8</v>
      </c>
    </row>
    <row r="9" spans="2:3">
      <c r="B9" s="180" t="s">
        <v>9</v>
      </c>
      <c r="C9" s="181" t="s">
        <v>10</v>
      </c>
    </row>
    <row r="10" spans="2:3">
      <c r="B10" s="180" t="s">
        <v>11</v>
      </c>
      <c r="C10" s="181" t="s">
        <v>12</v>
      </c>
    </row>
    <row r="11" spans="2:3">
      <c r="B11" s="239" t="s">
        <v>13</v>
      </c>
      <c r="C11" s="181"/>
    </row>
    <row r="12" spans="2:3">
      <c r="B12" s="180" t="s">
        <v>14</v>
      </c>
      <c r="C12" s="33" t="s">
        <v>15</v>
      </c>
    </row>
    <row r="13" spans="2:3">
      <c r="B13" s="180" t="s">
        <v>16</v>
      </c>
      <c r="C13" s="33" t="s">
        <v>17</v>
      </c>
    </row>
    <row r="14" spans="2:3">
      <c r="B14" s="180" t="s">
        <v>18</v>
      </c>
      <c r="C14" s="33" t="s">
        <v>19</v>
      </c>
    </row>
    <row r="15" spans="2:3">
      <c r="B15" s="180" t="s">
        <v>20</v>
      </c>
      <c r="C15" s="33" t="s">
        <v>21</v>
      </c>
    </row>
    <row r="16" spans="2:3">
      <c r="B16" s="180" t="s">
        <v>22</v>
      </c>
      <c r="C16" s="33" t="s">
        <v>23</v>
      </c>
    </row>
    <row r="17" spans="2:3">
      <c r="B17" s="180" t="s">
        <v>24</v>
      </c>
      <c r="C17" s="33" t="s">
        <v>25</v>
      </c>
    </row>
    <row r="18" spans="2:3">
      <c r="B18" s="180" t="s">
        <v>26</v>
      </c>
      <c r="C18" s="33" t="s">
        <v>27</v>
      </c>
    </row>
    <row r="19" spans="2:3">
      <c r="B19" s="180" t="s">
        <v>28</v>
      </c>
      <c r="C19" s="33" t="s">
        <v>29</v>
      </c>
    </row>
    <row r="20" spans="2:3">
      <c r="B20" s="180" t="s">
        <v>30</v>
      </c>
      <c r="C20" s="33" t="s">
        <v>31</v>
      </c>
    </row>
    <row r="21" spans="2:3">
      <c r="B21" s="180" t="s">
        <v>32</v>
      </c>
      <c r="C21" s="33" t="s">
        <v>33</v>
      </c>
    </row>
    <row r="22" spans="2:3">
      <c r="B22" s="180" t="s">
        <v>34</v>
      </c>
      <c r="C22" s="33" t="s">
        <v>35</v>
      </c>
    </row>
    <row r="23" spans="2:3">
      <c r="B23" s="180" t="s">
        <v>36</v>
      </c>
      <c r="C23" s="33" t="s">
        <v>37</v>
      </c>
    </row>
  </sheetData>
  <phoneticPr fontId="6" type="noConversion"/>
  <hyperlinks>
    <hyperlink ref="C5" location="Drivers!A1" display="Drivers!A1" xr:uid="{F1AD716B-0943-4B47-8937-A293EC8B62F0}"/>
    <hyperlink ref="C6" location="'Income Statement'!A1" display="'Income Statement'!A1" xr:uid="{6FFD851D-064D-4D72-AD28-1F4225D758AF}"/>
    <hyperlink ref="C7" location="'Financial Position'!A1" display="'Financial Position'!A1" xr:uid="{D3A3194C-8497-4C93-9172-1681DF0F19AB}"/>
    <hyperlink ref="C8" location="'Cash Flow'!A1" display="CF 1'!A1" xr:uid="{B548266D-9F09-46BE-ABF5-66AF214538D9}"/>
    <hyperlink ref="C9" location="'DCF Valuation'!A1" display=" DCF Valuation'!A1" xr:uid="{9114E6A8-854F-483A-B9F9-C6D550A7DD9B}"/>
    <hyperlink ref="C12" location="Sales!A1" display="Sales!A1" xr:uid="{31FEF8EF-7946-4B42-AC22-B6CC692032CA}"/>
    <hyperlink ref="C13" location="COGS!A1" display="COGS!A1" xr:uid="{1D59AADB-49A2-47E8-95E2-75F4ACAECF39}"/>
    <hyperlink ref="C14" location="Opex!A1" display="Opex!A1" xr:uid="{5208E12C-32B9-48EF-8675-01F0421C24E6}"/>
    <hyperlink ref="C15" location="OI!A1" display="OI!A1" xr:uid="{CA03E231-60EE-4A5E-918C-D70FADD04119}"/>
    <hyperlink ref="C16" location="PPE!A1" display="PPE!A1" xr:uid="{866CA399-AE57-4D8B-9297-74E66C010210}"/>
    <hyperlink ref="C17" location="WC!A1" display="WC!A1" xr:uid="{E7A86E8E-63B4-49C7-9599-FDFD58CD3B30}"/>
    <hyperlink ref="C18" location="OA!A1" display="OA!A1" xr:uid="{F02B037E-AD77-4588-9097-2C6A5478E87B}"/>
    <hyperlink ref="C19" location="OL!A1" display="OL!A1" xr:uid="{03892154-4FED-4404-809A-FF0F981D9DC4}"/>
    <hyperlink ref="C21" location="Financing!A1" display="Financing!A1" xr:uid="{5176B527-255E-4F3D-816F-75FE2FB489DF}"/>
    <hyperlink ref="C22" location="CIE!A1" display="CIE!A1" xr:uid="{8B02CA65-47EC-49BB-87FE-A1483295C17E}"/>
    <hyperlink ref="C23" location="WACC!A1" display="WACC!A1" xr:uid="{A0A7E313-D157-4C36-B400-1CA53C07D07F}"/>
    <hyperlink ref="C10" location="'Dividends Based Valuation'!A1" display="'Dividends Based Valuation'!A1" xr:uid="{22737631-AF5C-4E47-890C-5CD034CBB53E}"/>
    <hyperlink ref="C20" location="Div!A1" display="Div!A1" xr:uid="{0EF7F20C-CCCD-4F0F-A4B7-3D9FBDA77A1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BD9B6-0477-4039-9A6F-5B428166AD87}">
  <dimension ref="B1:E13"/>
  <sheetViews>
    <sheetView workbookViewId="0">
      <selection activeCell="C13" sqref="C13"/>
    </sheetView>
  </sheetViews>
  <sheetFormatPr defaultRowHeight="12"/>
  <cols>
    <col min="1" max="1" width="2" style="1" customWidth="1"/>
    <col min="2" max="2" width="29.85546875" style="1" bestFit="1" customWidth="1"/>
    <col min="3" max="3" width="14.28515625" style="1" bestFit="1" customWidth="1"/>
    <col min="4" max="4" width="12.42578125" style="1" customWidth="1"/>
    <col min="5" max="5" width="10" style="1" customWidth="1"/>
    <col min="6" max="16384" width="9.140625" style="1"/>
  </cols>
  <sheetData>
    <row r="1" spans="2:5" ht="15.75">
      <c r="B1" s="2" t="s">
        <v>1</v>
      </c>
    </row>
    <row r="3" spans="2:5">
      <c r="B3" s="31" t="s">
        <v>38</v>
      </c>
      <c r="C3" s="34" t="s">
        <v>39</v>
      </c>
    </row>
    <row r="4" spans="2:5">
      <c r="B4" s="31" t="s">
        <v>40</v>
      </c>
      <c r="C4" s="35" t="s">
        <v>41</v>
      </c>
    </row>
    <row r="5" spans="2:5">
      <c r="B5" s="31" t="s">
        <v>42</v>
      </c>
      <c r="C5" s="35" t="s">
        <v>43</v>
      </c>
    </row>
    <row r="6" spans="2:5">
      <c r="B6" s="31" t="s">
        <v>44</v>
      </c>
      <c r="C6" s="36">
        <v>0.16489999999999999</v>
      </c>
      <c r="D6" s="114" t="s">
        <v>45</v>
      </c>
    </row>
    <row r="7" spans="2:5">
      <c r="B7" s="31" t="s">
        <v>46</v>
      </c>
      <c r="C7" s="36">
        <v>0.15648999999999999</v>
      </c>
      <c r="D7" s="114" t="s">
        <v>47</v>
      </c>
    </row>
    <row r="8" spans="2:5">
      <c r="B8" s="31" t="s">
        <v>48</v>
      </c>
      <c r="C8" s="144">
        <v>0.08</v>
      </c>
      <c r="D8" s="1" t="s">
        <v>49</v>
      </c>
    </row>
    <row r="9" spans="2:5">
      <c r="B9" s="31" t="s">
        <v>50</v>
      </c>
      <c r="C9" s="35">
        <v>0.99</v>
      </c>
      <c r="D9" s="33" t="s">
        <v>51</v>
      </c>
    </row>
    <row r="10" spans="2:5">
      <c r="B10" s="31" t="s">
        <v>52</v>
      </c>
      <c r="C10" s="35">
        <v>70.73</v>
      </c>
      <c r="D10" s="33" t="s">
        <v>53</v>
      </c>
    </row>
    <row r="11" spans="2:5">
      <c r="B11" s="31" t="s">
        <v>54</v>
      </c>
      <c r="C11" s="34">
        <v>0.3</v>
      </c>
      <c r="D11" s="33" t="s">
        <v>55</v>
      </c>
    </row>
    <row r="12" spans="2:5">
      <c r="B12" s="31" t="s">
        <v>56</v>
      </c>
      <c r="C12" s="34">
        <v>0.04</v>
      </c>
      <c r="D12" s="33" t="s">
        <v>57</v>
      </c>
      <c r="E12" s="33" t="s">
        <v>58</v>
      </c>
    </row>
    <row r="13" spans="2:5">
      <c r="B13" s="1" t="s">
        <v>59</v>
      </c>
      <c r="C13" s="267">
        <v>1401447</v>
      </c>
      <c r="D13" s="33" t="s">
        <v>53</v>
      </c>
    </row>
  </sheetData>
  <hyperlinks>
    <hyperlink ref="D9" r:id="rId1" xr:uid="{16A2C57E-056B-4FF7-9ADA-B5679B3F5B42}"/>
    <hyperlink ref="D11" r:id="rId2" location=":~:text=The%20Corporate%20Tax%20Rate%20in,of%20Revenue%2C%20Government%20of%20Pakistan" xr:uid="{245640BC-0781-4114-A64F-76508ACF2BC4}"/>
    <hyperlink ref="D10" r:id="rId3" xr:uid="{8AAC1822-FF36-4235-8981-41F89307DFBD}"/>
    <hyperlink ref="D12" r:id="rId4" xr:uid="{D4E7E2E3-A683-483F-A02A-B5FE069D8378}"/>
    <hyperlink ref="E12" r:id="rId5" xr:uid="{C7A045CD-7EFD-4244-9390-6DB2C91E6400}"/>
    <hyperlink ref="D6" r:id="rId6" xr:uid="{36C6DC66-AEEC-435A-B4FA-1A24565D2682}"/>
    <hyperlink ref="D7" r:id="rId7" xr:uid="{B484C3EC-EF3E-406F-AB82-F3ED23376288}"/>
    <hyperlink ref="D13" r:id="rId8" xr:uid="{86A27DA8-B123-4638-A974-F0CC4793606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A3981-4D26-4D80-86FC-4D91D445DB9F}">
  <dimension ref="B1:M53"/>
  <sheetViews>
    <sheetView zoomScale="90" zoomScaleNormal="90" workbookViewId="0">
      <selection activeCell="F12" sqref="F12"/>
    </sheetView>
  </sheetViews>
  <sheetFormatPr defaultRowHeight="15"/>
  <cols>
    <col min="1" max="1" width="2" style="1" customWidth="1"/>
    <col min="2" max="2" width="35" style="1" bestFit="1" customWidth="1"/>
    <col min="3" max="5" width="11.7109375" style="4" customWidth="1"/>
    <col min="6" max="6" width="11.7109375" style="21" customWidth="1"/>
    <col min="7" max="7" width="11.7109375" style="3" customWidth="1"/>
    <col min="8" max="10" width="12.5703125" style="4" bestFit="1" customWidth="1"/>
    <col min="11" max="11" width="13.5703125" style="4" bestFit="1" customWidth="1"/>
    <col min="12" max="12" width="14.140625" style="4" bestFit="1" customWidth="1"/>
    <col min="13" max="13" width="22" style="1" bestFit="1" customWidth="1"/>
    <col min="14" max="16384" width="9.140625" style="1"/>
  </cols>
  <sheetData>
    <row r="1" spans="2:13" ht="15.75">
      <c r="B1" s="41" t="s">
        <v>39</v>
      </c>
    </row>
    <row r="2" spans="2:13">
      <c r="B2" s="6" t="s">
        <v>60</v>
      </c>
    </row>
    <row r="3" spans="2:13">
      <c r="B3" s="6" t="s">
        <v>61</v>
      </c>
    </row>
    <row r="4" spans="2:13">
      <c r="H4" s="20"/>
      <c r="I4" s="20"/>
      <c r="J4" s="1"/>
      <c r="K4" s="1"/>
      <c r="L4" s="1"/>
    </row>
    <row r="5" spans="2:13" ht="12">
      <c r="B5" s="11"/>
      <c r="C5" s="39" t="s">
        <v>62</v>
      </c>
      <c r="D5" s="39" t="s">
        <v>63</v>
      </c>
      <c r="E5" s="39" t="s">
        <v>64</v>
      </c>
      <c r="F5" s="40" t="s">
        <v>65</v>
      </c>
      <c r="G5" s="40" t="s">
        <v>66</v>
      </c>
      <c r="H5" s="39" t="s">
        <v>67</v>
      </c>
      <c r="I5" s="39" t="s">
        <v>68</v>
      </c>
      <c r="J5" s="39" t="s">
        <v>69</v>
      </c>
      <c r="K5" s="39" t="s">
        <v>70</v>
      </c>
      <c r="L5" s="39" t="s">
        <v>71</v>
      </c>
    </row>
    <row r="6" spans="2:13" ht="15.75" customHeight="1" thickBot="1">
      <c r="B6" s="17"/>
      <c r="C6" s="270" t="s">
        <v>72</v>
      </c>
      <c r="D6" s="270"/>
      <c r="E6" s="270"/>
      <c r="F6" s="270"/>
      <c r="G6" s="270"/>
      <c r="H6" s="270"/>
      <c r="I6" s="270"/>
      <c r="J6" s="270"/>
      <c r="K6" s="270"/>
      <c r="L6" s="270"/>
      <c r="M6" s="89" t="s">
        <v>73</v>
      </c>
    </row>
    <row r="7" spans="2:13">
      <c r="B7" s="1" t="s">
        <v>74</v>
      </c>
      <c r="C7" s="3">
        <v>37478321</v>
      </c>
      <c r="D7" s="3">
        <v>36302794</v>
      </c>
      <c r="E7" s="3">
        <v>54962265</v>
      </c>
      <c r="F7" s="3">
        <v>90894049</v>
      </c>
      <c r="G7" s="3">
        <v>119200293</v>
      </c>
      <c r="H7" s="71">
        <f>Sales!H13</f>
        <v>176580477.22676542</v>
      </c>
      <c r="I7" s="71">
        <f>Sales!I13</f>
        <v>346885772.84320694</v>
      </c>
      <c r="J7" s="71">
        <f>Sales!J13</f>
        <v>519974255.92351967</v>
      </c>
      <c r="K7" s="71">
        <f>Sales!K13</f>
        <v>776838510.78449118</v>
      </c>
      <c r="L7" s="71">
        <f>Sales!L13</f>
        <v>1162149483.0958982</v>
      </c>
      <c r="M7" s="120" t="s">
        <v>14</v>
      </c>
    </row>
    <row r="8" spans="2:13">
      <c r="B8" s="1" t="s">
        <v>75</v>
      </c>
      <c r="C8" s="3">
        <v>-25523607</v>
      </c>
      <c r="D8" s="3">
        <v>-28439076</v>
      </c>
      <c r="E8" s="3">
        <v>-40749985</v>
      </c>
      <c r="F8" s="3">
        <v>-64827880</v>
      </c>
      <c r="G8" s="3">
        <v>-79327921</v>
      </c>
      <c r="H8" s="71">
        <f>COGS!H11</f>
        <v>-129990732.22888422</v>
      </c>
      <c r="I8" s="71">
        <f>COGS!I11</f>
        <v>-209341072.34881598</v>
      </c>
      <c r="J8" s="71">
        <f>COGS!J11</f>
        <v>-336675814.58846223</v>
      </c>
      <c r="K8" s="71">
        <f>COGS!K11</f>
        <v>-540545460.7857399</v>
      </c>
      <c r="L8" s="71">
        <f>COGS!L11</f>
        <v>-866147657.92168617</v>
      </c>
      <c r="M8" s="120" t="s">
        <v>76</v>
      </c>
    </row>
    <row r="9" spans="2:13" ht="12">
      <c r="B9" s="14" t="s">
        <v>77</v>
      </c>
      <c r="C9" s="16">
        <f>SUM(C7:C8)</f>
        <v>11954714</v>
      </c>
      <c r="D9" s="16">
        <f t="shared" ref="D9:L9" si="0">SUM(D7:D8)</f>
        <v>7863718</v>
      </c>
      <c r="E9" s="16">
        <f t="shared" si="0"/>
        <v>14212280</v>
      </c>
      <c r="F9" s="16">
        <f t="shared" si="0"/>
        <v>26066169</v>
      </c>
      <c r="G9" s="16">
        <f t="shared" si="0"/>
        <v>39872372</v>
      </c>
      <c r="H9" s="82">
        <f t="shared" si="0"/>
        <v>46589744.997881204</v>
      </c>
      <c r="I9" s="82">
        <f t="shared" si="0"/>
        <v>137544700.49439096</v>
      </c>
      <c r="J9" s="82">
        <f t="shared" si="0"/>
        <v>183298441.33505744</v>
      </c>
      <c r="K9" s="82">
        <f t="shared" si="0"/>
        <v>236293049.99875128</v>
      </c>
      <c r="L9" s="82">
        <f t="shared" si="0"/>
        <v>296001825.17421198</v>
      </c>
    </row>
    <row r="10" spans="2:13" ht="12">
      <c r="C10" s="3"/>
      <c r="D10" s="3"/>
      <c r="E10" s="3"/>
      <c r="F10" s="3"/>
      <c r="H10" s="71"/>
      <c r="I10" s="71"/>
      <c r="J10" s="71"/>
      <c r="K10" s="71"/>
      <c r="L10" s="71"/>
    </row>
    <row r="11" spans="2:13" ht="12">
      <c r="B11" s="6" t="s">
        <v>78</v>
      </c>
      <c r="C11" s="3"/>
      <c r="D11" s="3"/>
      <c r="E11" s="3"/>
      <c r="F11" s="3"/>
      <c r="H11" s="71"/>
      <c r="I11" s="71"/>
      <c r="J11" s="71"/>
      <c r="K11" s="71"/>
      <c r="L11" s="71"/>
    </row>
    <row r="12" spans="2:13">
      <c r="B12" s="1" t="s">
        <v>79</v>
      </c>
      <c r="C12" s="3">
        <v>-2783719</v>
      </c>
      <c r="D12" s="3">
        <v>-2007264</v>
      </c>
      <c r="E12" s="3">
        <v>-2639632</v>
      </c>
      <c r="F12" s="3">
        <v>-3382031</v>
      </c>
      <c r="G12" s="3">
        <v>-3952564</v>
      </c>
      <c r="H12" s="71">
        <f>Opex!H6</f>
        <v>-6968676.1051067533</v>
      </c>
      <c r="I12" s="71">
        <f>Opex!I6</f>
        <v>-13689704.741875816</v>
      </c>
      <c r="J12" s="71">
        <f>Opex!J6</f>
        <v>-20520570.730316576</v>
      </c>
      <c r="K12" s="71">
        <f>Opex!K6</f>
        <v>-30657613.18947231</v>
      </c>
      <c r="L12" s="71">
        <f>Opex!L6</f>
        <v>-45863752.667358786</v>
      </c>
      <c r="M12" s="120" t="s">
        <v>80</v>
      </c>
    </row>
    <row r="13" spans="2:13">
      <c r="B13" s="1" t="s">
        <v>81</v>
      </c>
      <c r="C13" s="3">
        <v>-1984209</v>
      </c>
      <c r="D13" s="3">
        <v>-2197949</v>
      </c>
      <c r="E13" s="3">
        <v>-2796180</v>
      </c>
      <c r="F13" s="3">
        <v>-4681472</v>
      </c>
      <c r="G13" s="3">
        <v>-6245370</v>
      </c>
      <c r="H13" s="71">
        <f>Opex!H7</f>
        <v>-9473928.0960894283</v>
      </c>
      <c r="I13" s="71">
        <f>Opex!I7</f>
        <v>-18611178.99943481</v>
      </c>
      <c r="J13" s="71">
        <f>Opex!J7</f>
        <v>-27897753.986193962</v>
      </c>
      <c r="K13" s="71">
        <f>Opex!K7</f>
        <v>-41679082.019888788</v>
      </c>
      <c r="L13" s="71">
        <f>Opex!L7</f>
        <v>-62351856.856852807</v>
      </c>
      <c r="M13" s="120" t="s">
        <v>80</v>
      </c>
    </row>
    <row r="14" spans="2:13">
      <c r="B14" s="1" t="s">
        <v>82</v>
      </c>
      <c r="C14" s="3">
        <v>-784540</v>
      </c>
      <c r="D14" s="3">
        <v>-504513</v>
      </c>
      <c r="E14" s="3">
        <v>-919479</v>
      </c>
      <c r="F14" s="3">
        <v>-2143370</v>
      </c>
      <c r="G14" s="3">
        <v>-2721284</v>
      </c>
      <c r="H14" s="71">
        <f>Opex!H8</f>
        <v>-3459927.9544477509</v>
      </c>
      <c r="I14" s="71">
        <f>Opex!I8</f>
        <v>-6796899.6420772066</v>
      </c>
      <c r="J14" s="71">
        <f>Opex!J8</f>
        <v>-10188405.263808278</v>
      </c>
      <c r="K14" s="71">
        <f>Opex!K8</f>
        <v>-15221418.141843226</v>
      </c>
      <c r="L14" s="71">
        <f>Opex!L8</f>
        <v>-22771223.336579707</v>
      </c>
      <c r="M14" s="120" t="s">
        <v>80</v>
      </c>
    </row>
    <row r="15" spans="2:13">
      <c r="B15" s="12"/>
      <c r="C15" s="16">
        <f>SUM(C12:C14)</f>
        <v>-5552468</v>
      </c>
      <c r="D15" s="16">
        <f t="shared" ref="D15:L15" si="1">SUM(D12:D14)</f>
        <v>-4709726</v>
      </c>
      <c r="E15" s="16">
        <f t="shared" si="1"/>
        <v>-6355291</v>
      </c>
      <c r="F15" s="16">
        <f t="shared" si="1"/>
        <v>-10206873</v>
      </c>
      <c r="G15" s="16">
        <f t="shared" si="1"/>
        <v>-12919218</v>
      </c>
      <c r="H15" s="82">
        <f t="shared" si="1"/>
        <v>-19902532.155643933</v>
      </c>
      <c r="I15" s="82">
        <f t="shared" si="1"/>
        <v>-39097783.383387834</v>
      </c>
      <c r="J15" s="82">
        <f t="shared" si="1"/>
        <v>-58606729.980318815</v>
      </c>
      <c r="K15" s="82">
        <f t="shared" si="1"/>
        <v>-87558113.351204336</v>
      </c>
      <c r="L15" s="82">
        <f t="shared" si="1"/>
        <v>-130986832.8607913</v>
      </c>
      <c r="M15" s="120"/>
    </row>
    <row r="16" spans="2:13">
      <c r="B16" s="1" t="s">
        <v>83</v>
      </c>
      <c r="C16" s="3">
        <v>14444</v>
      </c>
      <c r="D16" s="3">
        <v>99001</v>
      </c>
      <c r="E16" s="3">
        <v>162912</v>
      </c>
      <c r="F16" s="3">
        <v>57122</v>
      </c>
      <c r="G16" s="3">
        <v>158237</v>
      </c>
      <c r="H16" s="71">
        <f>OI!H5</f>
        <v>283676.21252231783</v>
      </c>
      <c r="I16" s="71">
        <f>OI!I5</f>
        <v>557271.35730677727</v>
      </c>
      <c r="J16" s="71">
        <f>OI!J5</f>
        <v>835337.68764294789</v>
      </c>
      <c r="K16" s="71">
        <f>OI!K5</f>
        <v>1247989.6415605519</v>
      </c>
      <c r="L16" s="71">
        <f>OI!L5</f>
        <v>1866991.0112772251</v>
      </c>
      <c r="M16" s="120" t="s">
        <v>84</v>
      </c>
    </row>
    <row r="17" spans="2:13" ht="12">
      <c r="B17" s="14" t="s">
        <v>85</v>
      </c>
      <c r="C17" s="16">
        <f>SUM(C9,C15:C16)</f>
        <v>6416690</v>
      </c>
      <c r="D17" s="16">
        <f t="shared" ref="D17:L17" si="2">SUM(D9,D15:D16)</f>
        <v>3252993</v>
      </c>
      <c r="E17" s="16">
        <f t="shared" si="2"/>
        <v>8019901</v>
      </c>
      <c r="F17" s="16">
        <f t="shared" si="2"/>
        <v>15916418</v>
      </c>
      <c r="G17" s="16">
        <f t="shared" si="2"/>
        <v>27111391</v>
      </c>
      <c r="H17" s="82">
        <f t="shared" si="2"/>
        <v>26970889.054759588</v>
      </c>
      <c r="I17" s="82">
        <f t="shared" si="2"/>
        <v>99004188.468309909</v>
      </c>
      <c r="J17" s="82">
        <f t="shared" si="2"/>
        <v>125527049.04238157</v>
      </c>
      <c r="K17" s="82">
        <f t="shared" si="2"/>
        <v>149982926.2891075</v>
      </c>
      <c r="L17" s="82">
        <f t="shared" si="2"/>
        <v>166881983.32469791</v>
      </c>
    </row>
    <row r="18" spans="2:13" ht="12">
      <c r="C18" s="3"/>
      <c r="D18" s="3"/>
      <c r="E18" s="3"/>
      <c r="F18" s="3"/>
      <c r="H18" s="71"/>
      <c r="I18" s="71"/>
      <c r="J18" s="71"/>
      <c r="K18" s="71"/>
      <c r="L18" s="71"/>
    </row>
    <row r="19" spans="2:13">
      <c r="B19" s="1" t="s">
        <v>86</v>
      </c>
      <c r="C19" s="3">
        <v>-995707</v>
      </c>
      <c r="D19" s="3">
        <v>-1137162</v>
      </c>
      <c r="E19" s="3">
        <v>-1147038</v>
      </c>
      <c r="F19" s="3">
        <v>-2492950</v>
      </c>
      <c r="G19" s="3">
        <v>-5527536</v>
      </c>
      <c r="H19" s="71">
        <f>Financing!H18</f>
        <v>-3017359.1903570308</v>
      </c>
      <c r="I19" s="71">
        <f>Financing!I18</f>
        <v>-2828163.5740784337</v>
      </c>
      <c r="J19" s="71">
        <f>Financing!J18</f>
        <v>-2828163.5740784337</v>
      </c>
      <c r="K19" s="71">
        <f>Financing!K18</f>
        <v>-2828163.5740784337</v>
      </c>
      <c r="L19" s="71">
        <f>Financing!L18</f>
        <v>-2828163.5740784337</v>
      </c>
      <c r="M19" s="120" t="s">
        <v>32</v>
      </c>
    </row>
    <row r="20" spans="2:13" ht="12">
      <c r="B20" s="14" t="s">
        <v>87</v>
      </c>
      <c r="C20" s="16">
        <f>SUM(C17:C19)</f>
        <v>5420983</v>
      </c>
      <c r="D20" s="16">
        <f t="shared" ref="D20:L20" si="3">SUM(D17:D19)</f>
        <v>2115831</v>
      </c>
      <c r="E20" s="16">
        <f t="shared" si="3"/>
        <v>6872863</v>
      </c>
      <c r="F20" s="16">
        <f t="shared" si="3"/>
        <v>13423468</v>
      </c>
      <c r="G20" s="16">
        <f t="shared" si="3"/>
        <v>21583855</v>
      </c>
      <c r="H20" s="82">
        <f t="shared" si="3"/>
        <v>23953529.864402559</v>
      </c>
      <c r="I20" s="82">
        <f t="shared" si="3"/>
        <v>96176024.894231468</v>
      </c>
      <c r="J20" s="82">
        <f t="shared" si="3"/>
        <v>122698885.46830313</v>
      </c>
      <c r="K20" s="82">
        <f t="shared" si="3"/>
        <v>147154762.71502906</v>
      </c>
      <c r="L20" s="82">
        <f t="shared" si="3"/>
        <v>164053819.75061947</v>
      </c>
    </row>
    <row r="21" spans="2:13" ht="12">
      <c r="C21" s="3"/>
      <c r="D21" s="3"/>
      <c r="E21" s="3"/>
      <c r="F21" s="3"/>
      <c r="H21" s="71"/>
      <c r="I21" s="71"/>
      <c r="J21" s="71"/>
      <c r="K21" s="71"/>
      <c r="L21" s="71"/>
    </row>
    <row r="22" spans="2:13" ht="12">
      <c r="B22" s="1" t="s">
        <v>88</v>
      </c>
      <c r="C22" s="3">
        <v>-226216</v>
      </c>
      <c r="D22" s="3">
        <v>-319428</v>
      </c>
      <c r="E22" s="3">
        <v>-581292</v>
      </c>
      <c r="F22" s="3">
        <v>-1063972</v>
      </c>
      <c r="G22" s="3">
        <v>-1412009</v>
      </c>
      <c r="H22" s="71">
        <f>IF(H20&gt;0,-H20*Drivers!$C$11,0)</f>
        <v>-7186058.9593207678</v>
      </c>
      <c r="I22" s="71">
        <f>IF(I20&gt;0,-I20*Drivers!$C$11,0)</f>
        <v>-28852807.468269441</v>
      </c>
      <c r="J22" s="71">
        <f>IF(J20&gt;0,-J20*Drivers!$C$11,0)</f>
        <v>-36809665.640490934</v>
      </c>
      <c r="K22" s="71">
        <f>IF(K20&gt;0,-K20*Drivers!$C$11,0)</f>
        <v>-44146428.814508714</v>
      </c>
      <c r="L22" s="71">
        <f>IF(L20&gt;0,-L20*Drivers!$C$11,0)</f>
        <v>-49216145.925185837</v>
      </c>
      <c r="M22" s="1" t="s">
        <v>89</v>
      </c>
    </row>
    <row r="23" spans="2:13" ht="12.75" thickBot="1">
      <c r="B23" s="7" t="s">
        <v>90</v>
      </c>
      <c r="C23" s="8">
        <f>SUM(C20:C22)</f>
        <v>5194767</v>
      </c>
      <c r="D23" s="8">
        <f t="shared" ref="D23:L23" si="4">SUM(D20:D22)</f>
        <v>1796403</v>
      </c>
      <c r="E23" s="8">
        <f t="shared" si="4"/>
        <v>6291571</v>
      </c>
      <c r="F23" s="8">
        <f t="shared" si="4"/>
        <v>12359496</v>
      </c>
      <c r="G23" s="8">
        <f>SUM(G20:G22)</f>
        <v>20171846</v>
      </c>
      <c r="H23" s="83">
        <f t="shared" si="4"/>
        <v>16767470.90508179</v>
      </c>
      <c r="I23" s="83">
        <f t="shared" si="4"/>
        <v>67323217.425962031</v>
      </c>
      <c r="J23" s="83">
        <f t="shared" si="4"/>
        <v>85889219.827812195</v>
      </c>
      <c r="K23" s="83">
        <f t="shared" si="4"/>
        <v>103008333.90052035</v>
      </c>
      <c r="L23" s="83">
        <f t="shared" si="4"/>
        <v>114837673.82543364</v>
      </c>
    </row>
    <row r="24" spans="2:13" ht="12">
      <c r="C24" s="119"/>
      <c r="D24" s="119"/>
      <c r="E24" s="119"/>
      <c r="F24" s="119"/>
      <c r="G24" s="119"/>
      <c r="H24" s="71"/>
      <c r="I24" s="71"/>
      <c r="J24" s="71"/>
      <c r="K24" s="71"/>
      <c r="L24" s="71"/>
    </row>
    <row r="25" spans="2:13" ht="12">
      <c r="C25" s="3"/>
      <c r="D25" s="3"/>
      <c r="E25" s="3"/>
      <c r="F25" s="3" t="s">
        <v>91</v>
      </c>
      <c r="H25" s="71"/>
      <c r="I25" s="71"/>
      <c r="J25" s="71"/>
      <c r="K25" s="71"/>
      <c r="L25" s="71"/>
    </row>
    <row r="26" spans="2:13" ht="12.75" thickBot="1">
      <c r="B26" s="15" t="s">
        <v>92</v>
      </c>
      <c r="C26" s="22">
        <v>6.67</v>
      </c>
      <c r="D26" s="22">
        <v>2.06</v>
      </c>
      <c r="E26" s="22">
        <v>7.21</v>
      </c>
      <c r="F26" s="22">
        <v>8.82</v>
      </c>
      <c r="G26" s="22">
        <v>14.39</v>
      </c>
      <c r="H26" s="84">
        <f>H23/Drivers!$C$13</f>
        <v>11.9643988713678</v>
      </c>
      <c r="I26" s="84">
        <f>I23/(Drivers!$C$13+50000)</f>
        <v>46.383517569681864</v>
      </c>
      <c r="J26" s="84">
        <f>J23/(Drivers!$C$13+100000)</f>
        <v>57.204296806888415</v>
      </c>
      <c r="K26" s="84">
        <f>K23/(Drivers!$C$13+150000)</f>
        <v>66.395006661858474</v>
      </c>
      <c r="L26" s="84">
        <f>L23/(Drivers!$C$13+200000)</f>
        <v>71.708694590225988</v>
      </c>
    </row>
    <row r="27" spans="2:13" ht="12">
      <c r="F27" s="3"/>
      <c r="H27" s="71"/>
      <c r="I27" s="71"/>
      <c r="J27" s="71"/>
      <c r="K27" s="71"/>
      <c r="L27" s="71"/>
    </row>
    <row r="28" spans="2:13" ht="12">
      <c r="F28" s="3"/>
      <c r="H28" s="71"/>
      <c r="I28" s="71"/>
      <c r="J28" s="71"/>
      <c r="K28" s="71"/>
      <c r="L28" s="71"/>
    </row>
    <row r="29" spans="2:13" ht="12">
      <c r="B29" s="6" t="s">
        <v>93</v>
      </c>
      <c r="F29" s="3"/>
      <c r="H29" s="71"/>
      <c r="I29" s="71"/>
      <c r="J29" s="71"/>
      <c r="K29" s="71"/>
      <c r="L29" s="71"/>
    </row>
    <row r="30" spans="2:13" ht="12">
      <c r="F30" s="3"/>
      <c r="H30" s="71"/>
      <c r="I30" s="71"/>
      <c r="J30" s="71"/>
      <c r="K30" s="71"/>
      <c r="L30" s="71"/>
    </row>
    <row r="31" spans="2:13" ht="12">
      <c r="B31" s="6" t="s">
        <v>90</v>
      </c>
      <c r="C31" s="9">
        <f>C23</f>
        <v>5194767</v>
      </c>
      <c r="D31" s="9">
        <f t="shared" ref="D31:L31" si="5">D23</f>
        <v>1796403</v>
      </c>
      <c r="E31" s="9">
        <f t="shared" si="5"/>
        <v>6291571</v>
      </c>
      <c r="F31" s="9">
        <f t="shared" si="5"/>
        <v>12359496</v>
      </c>
      <c r="G31" s="9">
        <f t="shared" si="5"/>
        <v>20171846</v>
      </c>
      <c r="H31" s="85">
        <f t="shared" si="5"/>
        <v>16767470.90508179</v>
      </c>
      <c r="I31" s="85">
        <f t="shared" si="5"/>
        <v>67323217.425962031</v>
      </c>
      <c r="J31" s="85">
        <f t="shared" si="5"/>
        <v>85889219.827812195</v>
      </c>
      <c r="K31" s="85">
        <f t="shared" si="5"/>
        <v>103008333.90052035</v>
      </c>
      <c r="L31" s="85">
        <f t="shared" si="5"/>
        <v>114837673.82543364</v>
      </c>
    </row>
    <row r="32" spans="2:13" ht="12">
      <c r="B32" s="6" t="s">
        <v>94</v>
      </c>
      <c r="C32" s="3"/>
      <c r="D32" s="3"/>
      <c r="E32" s="3"/>
      <c r="F32" s="3"/>
      <c r="H32" s="71"/>
      <c r="I32" s="71"/>
      <c r="J32" s="71"/>
      <c r="K32" s="71"/>
      <c r="L32" s="71"/>
    </row>
    <row r="33" spans="2:13" ht="24">
      <c r="B33" s="23" t="s">
        <v>95</v>
      </c>
      <c r="C33" s="3"/>
      <c r="D33" s="3"/>
      <c r="E33" s="3"/>
      <c r="F33" s="3"/>
      <c r="H33" s="71"/>
      <c r="I33" s="71"/>
      <c r="J33" s="71"/>
      <c r="K33" s="71"/>
      <c r="L33" s="71"/>
    </row>
    <row r="34" spans="2:13" ht="24">
      <c r="B34" s="10" t="s">
        <v>96</v>
      </c>
      <c r="C34" s="3">
        <v>-192825</v>
      </c>
      <c r="D34" s="3">
        <v>2715</v>
      </c>
      <c r="E34" s="3">
        <v>-71653</v>
      </c>
      <c r="F34" s="3">
        <v>-263121</v>
      </c>
      <c r="G34" s="3">
        <v>-1687858</v>
      </c>
      <c r="H34" s="71">
        <f>$G$34</f>
        <v>-1687858</v>
      </c>
      <c r="I34" s="71">
        <f t="shared" ref="I34:L34" si="6">$G$34</f>
        <v>-1687858</v>
      </c>
      <c r="J34" s="71">
        <f t="shared" si="6"/>
        <v>-1687858</v>
      </c>
      <c r="K34" s="71">
        <f t="shared" si="6"/>
        <v>-1687858</v>
      </c>
      <c r="L34" s="71">
        <f t="shared" si="6"/>
        <v>-1687858</v>
      </c>
      <c r="M34" s="96" t="s">
        <v>97</v>
      </c>
    </row>
    <row r="35" spans="2:13" ht="12.75" thickBot="1">
      <c r="B35" s="7" t="s">
        <v>98</v>
      </c>
      <c r="C35" s="8">
        <f>SUM(C31:C34)</f>
        <v>5001942</v>
      </c>
      <c r="D35" s="8">
        <f t="shared" ref="D35:L35" si="7">SUM(D31:D34)</f>
        <v>1799118</v>
      </c>
      <c r="E35" s="8">
        <f t="shared" si="7"/>
        <v>6219918</v>
      </c>
      <c r="F35" s="8">
        <f t="shared" si="7"/>
        <v>12096375</v>
      </c>
      <c r="G35" s="8">
        <f t="shared" si="7"/>
        <v>18483988</v>
      </c>
      <c r="H35" s="83">
        <f t="shared" si="7"/>
        <v>15079612.90508179</v>
      </c>
      <c r="I35" s="83">
        <f t="shared" si="7"/>
        <v>65635359.425962031</v>
      </c>
      <c r="J35" s="83">
        <f t="shared" si="7"/>
        <v>84201361.827812195</v>
      </c>
      <c r="K35" s="83">
        <f t="shared" si="7"/>
        <v>101320475.90052035</v>
      </c>
      <c r="L35" s="83">
        <f t="shared" si="7"/>
        <v>113149815.82543364</v>
      </c>
    </row>
    <row r="53" spans="13:13">
      <c r="M53" s="20"/>
    </row>
  </sheetData>
  <mergeCells count="1">
    <mergeCell ref="C6:L6"/>
  </mergeCells>
  <phoneticPr fontId="6" type="noConversion"/>
  <hyperlinks>
    <hyperlink ref="M7" location="Sales!A1" display="Sales" xr:uid="{196669D2-C707-45F3-8F8E-9A7CD0DF66DE}"/>
    <hyperlink ref="M8" location="COGS!A1" display="COGS" xr:uid="{DED6D56F-7992-4BBF-B2DD-43E5FCC43AC3}"/>
    <hyperlink ref="M12" location="Opex!A1" display="Opex" xr:uid="{D28AEC57-C68E-425B-9237-DC11857C3E55}"/>
    <hyperlink ref="M13" location="Opex!A1" display="Opex" xr:uid="{B31D94EE-75A7-40B7-B31E-389192CA49DE}"/>
    <hyperlink ref="M14" location="Opex!A1" display="Opex" xr:uid="{E43CAC87-4FCB-4301-90FD-A06B98595418}"/>
    <hyperlink ref="M16" location="OI!A1" display="OI" xr:uid="{00746C37-4C0E-404A-86D9-2A6A885ECF02}"/>
    <hyperlink ref="M19" location="Financing!A1" display="Financing" xr:uid="{2CD4A064-B54D-4C99-834B-B047B68ACD4C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555DA-692B-467C-B2F1-094A7509EDE6}">
  <dimension ref="B1:N58"/>
  <sheetViews>
    <sheetView topLeftCell="A21" zoomScale="90" zoomScaleNormal="90" workbookViewId="0">
      <selection activeCell="O17" sqref="O17"/>
    </sheetView>
  </sheetViews>
  <sheetFormatPr defaultRowHeight="15"/>
  <cols>
    <col min="1" max="1" width="2" style="1" customWidth="1"/>
    <col min="2" max="2" width="35.42578125" style="1" customWidth="1"/>
    <col min="3" max="3" width="11.7109375" style="4" customWidth="1"/>
    <col min="4" max="7" width="11.7109375" style="3" customWidth="1"/>
    <col min="8" max="8" width="12.7109375" style="13" customWidth="1"/>
    <col min="9" max="10" width="12.7109375" style="1" customWidth="1"/>
    <col min="11" max="11" width="15.5703125" style="1" customWidth="1"/>
    <col min="12" max="12" width="13.5703125" style="1" customWidth="1"/>
    <col min="13" max="13" width="22" style="1" bestFit="1" customWidth="1"/>
    <col min="14" max="14" width="10" style="1" bestFit="1" customWidth="1"/>
    <col min="15" max="15" width="11" style="1" bestFit="1" customWidth="1"/>
    <col min="16" max="16384" width="9.140625" style="1"/>
  </cols>
  <sheetData>
    <row r="1" spans="2:13" ht="15.75">
      <c r="B1" s="41" t="s">
        <v>39</v>
      </c>
    </row>
    <row r="2" spans="2:13">
      <c r="B2" s="6" t="s">
        <v>99</v>
      </c>
    </row>
    <row r="3" spans="2:13">
      <c r="B3" s="27" t="s">
        <v>100</v>
      </c>
    </row>
    <row r="4" spans="2:13" ht="12">
      <c r="H4" s="1"/>
    </row>
    <row r="5" spans="2:13" ht="12">
      <c r="B5" s="11"/>
      <c r="C5" s="44" t="s">
        <v>101</v>
      </c>
      <c r="D5" s="44" t="s">
        <v>102</v>
      </c>
      <c r="E5" s="44" t="s">
        <v>103</v>
      </c>
      <c r="F5" s="44" t="s">
        <v>104</v>
      </c>
      <c r="G5" s="44" t="s">
        <v>105</v>
      </c>
      <c r="H5" s="44" t="s">
        <v>106</v>
      </c>
      <c r="I5" s="44" t="s">
        <v>107</v>
      </c>
      <c r="J5" s="44" t="s">
        <v>108</v>
      </c>
      <c r="K5" s="44" t="s">
        <v>109</v>
      </c>
      <c r="L5" s="44" t="s">
        <v>110</v>
      </c>
    </row>
    <row r="6" spans="2:13" ht="15.75" customHeight="1" thickBot="1">
      <c r="B6" s="17"/>
      <c r="C6" s="270" t="s">
        <v>72</v>
      </c>
      <c r="D6" s="270"/>
      <c r="E6" s="270"/>
      <c r="F6" s="270"/>
      <c r="G6" s="270"/>
      <c r="H6" s="270"/>
      <c r="I6" s="270"/>
      <c r="J6" s="270"/>
      <c r="K6" s="270"/>
      <c r="L6" s="270"/>
      <c r="M6" s="89" t="s">
        <v>73</v>
      </c>
    </row>
    <row r="7" spans="2:13">
      <c r="B7" s="6" t="s">
        <v>111</v>
      </c>
      <c r="H7" s="86"/>
      <c r="I7" s="87"/>
      <c r="J7" s="87"/>
      <c r="K7" s="87"/>
      <c r="L7" s="87"/>
    </row>
    <row r="8" spans="2:13">
      <c r="B8" s="6" t="s">
        <v>112</v>
      </c>
      <c r="H8" s="86"/>
      <c r="I8" s="87"/>
      <c r="J8" s="87"/>
      <c r="K8" s="87"/>
      <c r="L8" s="87"/>
    </row>
    <row r="9" spans="2:13" ht="12">
      <c r="B9" s="1" t="s">
        <v>113</v>
      </c>
      <c r="C9" s="3">
        <v>18256474</v>
      </c>
      <c r="D9" s="3">
        <v>22744239</v>
      </c>
      <c r="E9" s="3">
        <v>26193029</v>
      </c>
      <c r="F9" s="3">
        <v>34730382</v>
      </c>
      <c r="G9" s="3">
        <v>58650853</v>
      </c>
      <c r="H9" s="71">
        <f>PPE!H12</f>
        <v>77344488.293488383</v>
      </c>
      <c r="I9" s="71">
        <f>PPE!I12</f>
        <v>101996297.80971065</v>
      </c>
      <c r="J9" s="71">
        <f>PPE!J12</f>
        <v>134505315.07056376</v>
      </c>
      <c r="K9" s="71">
        <f>PPE!K12</f>
        <v>177375847.66051376</v>
      </c>
      <c r="L9" s="71">
        <f>PPE!L12</f>
        <v>233910394.66938674</v>
      </c>
      <c r="M9" s="90" t="s">
        <v>114</v>
      </c>
    </row>
    <row r="10" spans="2:13" ht="12">
      <c r="B10" s="1" t="s">
        <v>115</v>
      </c>
      <c r="C10" s="3">
        <v>66161</v>
      </c>
      <c r="D10" s="3">
        <v>171459</v>
      </c>
      <c r="E10" s="3">
        <v>209623</v>
      </c>
      <c r="F10" s="3">
        <v>227457</v>
      </c>
      <c r="G10" s="3">
        <v>394618</v>
      </c>
      <c r="H10" s="71">
        <f>$G$10</f>
        <v>394618</v>
      </c>
      <c r="I10" s="71">
        <f>$G$10</f>
        <v>394618</v>
      </c>
      <c r="J10" s="71">
        <f>$G$10</f>
        <v>394618</v>
      </c>
      <c r="K10" s="71">
        <f>$G$10</f>
        <v>394618</v>
      </c>
      <c r="L10" s="71">
        <f>$G$10</f>
        <v>394618</v>
      </c>
      <c r="M10" s="31" t="s">
        <v>116</v>
      </c>
    </row>
    <row r="11" spans="2:13" ht="12">
      <c r="B11" s="1" t="s">
        <v>117</v>
      </c>
      <c r="C11" s="3">
        <v>1008735</v>
      </c>
      <c r="D11" s="3">
        <v>1853735</v>
      </c>
      <c r="E11" s="3">
        <v>0</v>
      </c>
      <c r="F11" s="3">
        <v>0</v>
      </c>
      <c r="G11" s="3">
        <v>0</v>
      </c>
      <c r="H11" s="71">
        <f>$G$11</f>
        <v>0</v>
      </c>
      <c r="I11" s="71">
        <f>$G$11</f>
        <v>0</v>
      </c>
      <c r="J11" s="71">
        <f>$G$11</f>
        <v>0</v>
      </c>
      <c r="K11" s="71">
        <f>$G$11</f>
        <v>0</v>
      </c>
      <c r="L11" s="71">
        <f>$G$11</f>
        <v>0</v>
      </c>
      <c r="M11" s="31" t="s">
        <v>116</v>
      </c>
    </row>
    <row r="12" spans="2:13" ht="12">
      <c r="B12" s="1" t="s">
        <v>118</v>
      </c>
      <c r="C12" s="3">
        <v>65762</v>
      </c>
      <c r="D12" s="3">
        <v>113823</v>
      </c>
      <c r="E12" s="3">
        <v>144673</v>
      </c>
      <c r="F12" s="3">
        <v>179626</v>
      </c>
      <c r="G12" s="3">
        <v>147858</v>
      </c>
      <c r="H12" s="71">
        <f>OA!H5</f>
        <v>379256.00858908275</v>
      </c>
      <c r="I12" s="71">
        <f>OA!I5</f>
        <v>745034.30793148151</v>
      </c>
      <c r="J12" s="71">
        <f>OA!J5</f>
        <v>1116790.2815065046</v>
      </c>
      <c r="K12" s="71">
        <f>OA!K5</f>
        <v>1668478.1780267821</v>
      </c>
      <c r="L12" s="71">
        <f>OA!L5</f>
        <v>2496041.3589595193</v>
      </c>
      <c r="M12" s="90" t="s">
        <v>119</v>
      </c>
    </row>
    <row r="13" spans="2:13" ht="12">
      <c r="B13" s="1" t="s">
        <v>120</v>
      </c>
      <c r="C13" s="3">
        <v>28019</v>
      </c>
      <c r="D13" s="3">
        <v>38337</v>
      </c>
      <c r="E13" s="3">
        <v>60478</v>
      </c>
      <c r="F13" s="3">
        <v>86955</v>
      </c>
      <c r="G13" s="3">
        <v>81701</v>
      </c>
      <c r="H13" s="71">
        <f>OA!H6</f>
        <v>160549.35627181423</v>
      </c>
      <c r="I13" s="71">
        <f>OA!I6</f>
        <v>315393.23261827731</v>
      </c>
      <c r="J13" s="71">
        <f>OA!J6</f>
        <v>472767.62061996991</v>
      </c>
      <c r="K13" s="71">
        <f>OA!K6</f>
        <v>706312.07250299654</v>
      </c>
      <c r="L13" s="71">
        <f>OA!L6</f>
        <v>1056642.01577085</v>
      </c>
      <c r="M13" s="90" t="s">
        <v>119</v>
      </c>
    </row>
    <row r="14" spans="2:13" ht="12">
      <c r="B14" s="14" t="s">
        <v>121</v>
      </c>
      <c r="C14" s="16">
        <f t="shared" ref="C14:L14" si="0">SUM(C9:C13)</f>
        <v>19425151</v>
      </c>
      <c r="D14" s="16">
        <f t="shared" si="0"/>
        <v>24921593</v>
      </c>
      <c r="E14" s="16">
        <f t="shared" si="0"/>
        <v>26607803</v>
      </c>
      <c r="F14" s="16">
        <f t="shared" si="0"/>
        <v>35224420</v>
      </c>
      <c r="G14" s="16">
        <f t="shared" si="0"/>
        <v>59275030</v>
      </c>
      <c r="H14" s="82">
        <f t="shared" si="0"/>
        <v>78278911.65834929</v>
      </c>
      <c r="I14" s="82">
        <f t="shared" si="0"/>
        <v>103451343.35026041</v>
      </c>
      <c r="J14" s="82">
        <f t="shared" si="0"/>
        <v>136489490.97269025</v>
      </c>
      <c r="K14" s="82">
        <f t="shared" si="0"/>
        <v>180145255.91104355</v>
      </c>
      <c r="L14" s="82">
        <f t="shared" si="0"/>
        <v>237857696.04411712</v>
      </c>
    </row>
    <row r="15" spans="2:13" ht="12">
      <c r="B15" s="6" t="s">
        <v>122</v>
      </c>
      <c r="C15" s="3"/>
      <c r="H15" s="71"/>
      <c r="I15" s="71"/>
      <c r="J15" s="71"/>
      <c r="K15" s="71"/>
      <c r="L15" s="71"/>
    </row>
    <row r="16" spans="2:13" ht="12">
      <c r="B16" s="1" t="s">
        <v>123</v>
      </c>
      <c r="C16" s="3">
        <v>887659</v>
      </c>
      <c r="D16" s="3">
        <v>1062524</v>
      </c>
      <c r="E16" s="3">
        <v>1199116</v>
      </c>
      <c r="F16" s="3">
        <v>1866417</v>
      </c>
      <c r="G16" s="3">
        <v>2490975</v>
      </c>
      <c r="H16" s="71">
        <f>OA!H7</f>
        <v>4103780.8560877168</v>
      </c>
      <c r="I16" s="71">
        <f>OA!I7</f>
        <v>8061724.6945993053</v>
      </c>
      <c r="J16" s="71">
        <f>OA!J7</f>
        <v>12084350.606760917</v>
      </c>
      <c r="K16" s="71">
        <f>OA!K7</f>
        <v>18053949.445017498</v>
      </c>
      <c r="L16" s="71">
        <f>OA!L7</f>
        <v>27008686.778643973</v>
      </c>
      <c r="M16" s="90" t="s">
        <v>119</v>
      </c>
    </row>
    <row r="17" spans="2:13" ht="12">
      <c r="B17" s="1" t="s">
        <v>124</v>
      </c>
      <c r="C17" s="3">
        <v>6282491</v>
      </c>
      <c r="D17" s="3">
        <v>8810625</v>
      </c>
      <c r="E17" s="3">
        <v>11276308</v>
      </c>
      <c r="F17" s="3">
        <v>23142048</v>
      </c>
      <c r="G17" s="3">
        <v>19728810</v>
      </c>
      <c r="H17" s="71">
        <f>WC!H6</f>
        <v>32052509.316711176</v>
      </c>
      <c r="I17" s="71">
        <f>WC!I6</f>
        <v>51618346.606557362</v>
      </c>
      <c r="J17" s="71">
        <f>WC!J6</f>
        <v>83015954.282086581</v>
      </c>
      <c r="K17" s="71">
        <f>WC!K6</f>
        <v>133285182.1115523</v>
      </c>
      <c r="L17" s="71">
        <f>WC!L6</f>
        <v>213570655.37795001</v>
      </c>
      <c r="M17" s="90" t="s">
        <v>125</v>
      </c>
    </row>
    <row r="18" spans="2:13" ht="12">
      <c r="B18" s="1" t="s">
        <v>126</v>
      </c>
      <c r="C18" s="3">
        <v>8247740</v>
      </c>
      <c r="D18" s="3">
        <v>7207391</v>
      </c>
      <c r="E18" s="3">
        <v>15052940</v>
      </c>
      <c r="F18" s="3">
        <v>28603965</v>
      </c>
      <c r="G18" s="3">
        <v>34138665</v>
      </c>
      <c r="H18" s="71">
        <f>WC!H5</f>
        <v>50797123.585781842</v>
      </c>
      <c r="I18" s="71">
        <f>WC!I5</f>
        <v>99789057.941196516</v>
      </c>
      <c r="J18" s="71">
        <f>WC!J5</f>
        <v>149581635.26567003</v>
      </c>
      <c r="K18" s="71">
        <f>WC!K5</f>
        <v>223474092.14348376</v>
      </c>
      <c r="L18" s="71">
        <f>WC!L5</f>
        <v>334316974.58923095</v>
      </c>
      <c r="M18" s="90" t="s">
        <v>125</v>
      </c>
    </row>
    <row r="19" spans="2:13" ht="12">
      <c r="B19" s="1" t="s">
        <v>127</v>
      </c>
      <c r="C19" s="3">
        <v>1063342</v>
      </c>
      <c r="D19" s="3">
        <v>485930</v>
      </c>
      <c r="E19" s="3">
        <v>1034836</v>
      </c>
      <c r="F19" s="3">
        <v>1633562</v>
      </c>
      <c r="G19" s="3">
        <v>2112755</v>
      </c>
      <c r="H19" s="71">
        <f>OA!H8</f>
        <v>3400316.4695359766</v>
      </c>
      <c r="I19" s="71">
        <f>OA!I8</f>
        <v>6679795.0994986026</v>
      </c>
      <c r="J19" s="71">
        <f>OA!J8</f>
        <v>10012868.092325328</v>
      </c>
      <c r="K19" s="71">
        <f>OA!K8</f>
        <v>14959166.629717991</v>
      </c>
      <c r="L19" s="71">
        <f>OA!L8</f>
        <v>22378895.388072517</v>
      </c>
      <c r="M19" s="90" t="s">
        <v>119</v>
      </c>
    </row>
    <row r="20" spans="2:13" ht="12">
      <c r="B20" s="1" t="s">
        <v>128</v>
      </c>
      <c r="C20" s="3">
        <v>194544</v>
      </c>
      <c r="D20" s="3">
        <v>193182</v>
      </c>
      <c r="E20" s="3">
        <v>318708</v>
      </c>
      <c r="F20" s="3">
        <v>998491</v>
      </c>
      <c r="G20" s="3">
        <v>671874</v>
      </c>
      <c r="H20" s="71">
        <f>OA!H9</f>
        <v>1163052.6245745188</v>
      </c>
      <c r="I20" s="71">
        <f>OA!I9</f>
        <v>2284773.5767230061</v>
      </c>
      <c r="J20" s="71">
        <f>OA!J9</f>
        <v>3424826.0768170874</v>
      </c>
      <c r="K20" s="71">
        <f>OA!K9</f>
        <v>5116670.217615162</v>
      </c>
      <c r="L20" s="71">
        <f>OA!L9</f>
        <v>7654532.5264175236</v>
      </c>
      <c r="M20" s="90" t="s">
        <v>119</v>
      </c>
    </row>
    <row r="21" spans="2:13" ht="12">
      <c r="B21" s="1" t="s">
        <v>129</v>
      </c>
      <c r="C21" s="3">
        <v>0</v>
      </c>
      <c r="D21" s="3">
        <v>0</v>
      </c>
      <c r="E21" s="3">
        <v>0</v>
      </c>
      <c r="F21" s="3">
        <v>0</v>
      </c>
      <c r="G21" s="3">
        <v>21672</v>
      </c>
      <c r="H21" s="71">
        <f>$G$21</f>
        <v>21672</v>
      </c>
      <c r="I21" s="71">
        <f>$G$21</f>
        <v>21672</v>
      </c>
      <c r="J21" s="71">
        <f>$G$21</f>
        <v>21672</v>
      </c>
      <c r="K21" s="71">
        <f>$G$21</f>
        <v>21672</v>
      </c>
      <c r="L21" s="71">
        <f>$G$21</f>
        <v>21672</v>
      </c>
      <c r="M21" s="31" t="s">
        <v>116</v>
      </c>
    </row>
    <row r="22" spans="2:13" ht="12">
      <c r="B22" s="1" t="s">
        <v>130</v>
      </c>
      <c r="C22" s="3">
        <v>10441</v>
      </c>
      <c r="D22" s="3">
        <v>2239</v>
      </c>
      <c r="E22" s="3">
        <v>2131</v>
      </c>
      <c r="F22" s="3">
        <v>4570</v>
      </c>
      <c r="G22" s="3">
        <v>1623</v>
      </c>
      <c r="H22" s="71">
        <f>OA!H10</f>
        <v>15642.541445517865</v>
      </c>
      <c r="I22" s="71">
        <f>OA!I10</f>
        <v>30729.190246734026</v>
      </c>
      <c r="J22" s="71">
        <f>OA!J10</f>
        <v>46062.390229247212</v>
      </c>
      <c r="K22" s="71">
        <f>OA!K10</f>
        <v>68816.942802886857</v>
      </c>
      <c r="L22" s="71">
        <f>OA!L10</f>
        <v>102950.0641334729</v>
      </c>
      <c r="M22" s="90" t="s">
        <v>119</v>
      </c>
    </row>
    <row r="23" spans="2:13" ht="12">
      <c r="B23" s="1" t="s">
        <v>131</v>
      </c>
      <c r="C23" s="3">
        <v>1925439</v>
      </c>
      <c r="D23" s="3">
        <v>2408014</v>
      </c>
      <c r="E23" s="3">
        <v>4328555</v>
      </c>
      <c r="F23" s="3">
        <v>4224938</v>
      </c>
      <c r="G23" s="3">
        <v>4758814</v>
      </c>
      <c r="H23" s="71">
        <f>OA!H11</f>
        <v>9989722.2511013914</v>
      </c>
      <c r="I23" s="71">
        <f>OA!I11</f>
        <v>19624437.412252221</v>
      </c>
      <c r="J23" s="71">
        <f>OA!J11</f>
        <v>29416606.388079949</v>
      </c>
      <c r="K23" s="71">
        <f>OA!K11</f>
        <v>43948238.664744109</v>
      </c>
      <c r="L23" s="71">
        <f>OA!L11</f>
        <v>65746512.483823664</v>
      </c>
      <c r="M23" s="90" t="s">
        <v>119</v>
      </c>
    </row>
    <row r="24" spans="2:13" ht="12">
      <c r="B24" s="1" t="s">
        <v>132</v>
      </c>
      <c r="C24" s="3">
        <v>1207251</v>
      </c>
      <c r="D24" s="3">
        <v>125044</v>
      </c>
      <c r="E24" s="3">
        <v>500000</v>
      </c>
      <c r="F24" s="3">
        <v>500000</v>
      </c>
      <c r="G24" s="3">
        <v>500000</v>
      </c>
      <c r="H24" s="71">
        <f>$G$24</f>
        <v>500000</v>
      </c>
      <c r="I24" s="71">
        <f>$G$24</f>
        <v>500000</v>
      </c>
      <c r="J24" s="71">
        <f>$G$24</f>
        <v>500000</v>
      </c>
      <c r="K24" s="71">
        <f>$G$24</f>
        <v>500000</v>
      </c>
      <c r="L24" s="71">
        <f>$G$24</f>
        <v>500000</v>
      </c>
      <c r="M24" s="31" t="s">
        <v>116</v>
      </c>
    </row>
    <row r="25" spans="2:13">
      <c r="B25" s="1" t="s">
        <v>133</v>
      </c>
      <c r="C25" s="3">
        <v>1538564</v>
      </c>
      <c r="D25" s="3">
        <v>150787</v>
      </c>
      <c r="E25" s="3">
        <v>374442</v>
      </c>
      <c r="F25" s="3">
        <v>117119</v>
      </c>
      <c r="G25" s="3">
        <v>1544502</v>
      </c>
      <c r="H25" s="71">
        <f>'Cash Flow'!H80</f>
        <v>-3885164.272367917</v>
      </c>
      <c r="I25" s="71">
        <f>'Cash Flow'!I80</f>
        <v>25151586.087094624</v>
      </c>
      <c r="J25" s="71">
        <f>'Cash Flow'!J80</f>
        <v>55984636.996879414</v>
      </c>
      <c r="K25" s="71">
        <f>'Cash Flow'!K80</f>
        <v>86237315.353890479</v>
      </c>
      <c r="L25" s="71">
        <f>'Cash Flow'!L80</f>
        <v>106023664.16388711</v>
      </c>
      <c r="M25" s="214" t="s">
        <v>8</v>
      </c>
    </row>
    <row r="26" spans="2:13" ht="12">
      <c r="B26" s="12" t="s">
        <v>121</v>
      </c>
      <c r="C26" s="16">
        <f t="shared" ref="C26:H26" si="1">SUM(C16:C25)</f>
        <v>21357471</v>
      </c>
      <c r="D26" s="16">
        <f t="shared" si="1"/>
        <v>20445736</v>
      </c>
      <c r="E26" s="16">
        <f t="shared" si="1"/>
        <v>34087036</v>
      </c>
      <c r="F26" s="16">
        <f t="shared" si="1"/>
        <v>61091110</v>
      </c>
      <c r="G26" s="16">
        <f t="shared" si="1"/>
        <v>65969690</v>
      </c>
      <c r="H26" s="82">
        <f t="shared" si="1"/>
        <v>98158655.372870237</v>
      </c>
      <c r="I26" s="82">
        <f>SUM(I16:I25)</f>
        <v>213762122.60816839</v>
      </c>
      <c r="J26" s="82">
        <f>SUM(J16:J25)</f>
        <v>344088612.09884858</v>
      </c>
      <c r="K26" s="82">
        <f>SUM(K16:K25)</f>
        <v>525665103.50882429</v>
      </c>
      <c r="L26" s="82">
        <f>SUM(L16:L25)</f>
        <v>777324543.37215924</v>
      </c>
    </row>
    <row r="27" spans="2:13" ht="12">
      <c r="C27" s="9"/>
      <c r="D27" s="9"/>
      <c r="E27" s="9"/>
      <c r="F27" s="9"/>
      <c r="G27" s="9"/>
      <c r="H27" s="85"/>
      <c r="I27" s="85"/>
      <c r="J27" s="85"/>
      <c r="K27" s="85"/>
      <c r="L27" s="85"/>
    </row>
    <row r="28" spans="2:13" ht="12.75" thickBot="1">
      <c r="B28" s="7" t="s">
        <v>134</v>
      </c>
      <c r="C28" s="8">
        <f t="shared" ref="C28:H28" si="2">SUM(C14,C26)</f>
        <v>40782622</v>
      </c>
      <c r="D28" s="8">
        <f t="shared" si="2"/>
        <v>45367329</v>
      </c>
      <c r="E28" s="8">
        <f t="shared" si="2"/>
        <v>60694839</v>
      </c>
      <c r="F28" s="8">
        <f t="shared" si="2"/>
        <v>96315530</v>
      </c>
      <c r="G28" s="8">
        <f t="shared" si="2"/>
        <v>125244720</v>
      </c>
      <c r="H28" s="83">
        <f t="shared" si="2"/>
        <v>176437567.03121954</v>
      </c>
      <c r="I28" s="83">
        <f>SUM(I14,I26)</f>
        <v>317213465.9584288</v>
      </c>
      <c r="J28" s="83">
        <f>SUM(J14,J26)</f>
        <v>480578103.07153881</v>
      </c>
      <c r="K28" s="83">
        <f>SUM(K14,K26)</f>
        <v>705810359.41986787</v>
      </c>
      <c r="L28" s="83">
        <f>SUM(L14,L26)</f>
        <v>1015182239.4162763</v>
      </c>
    </row>
    <row r="29" spans="2:13" ht="12">
      <c r="B29" s="1" t="s">
        <v>121</v>
      </c>
      <c r="C29" s="3"/>
      <c r="H29" s="71"/>
      <c r="I29" s="71"/>
      <c r="J29" s="71"/>
      <c r="K29" s="71"/>
      <c r="L29" s="71"/>
    </row>
    <row r="30" spans="2:13" ht="12">
      <c r="B30" s="6" t="s">
        <v>135</v>
      </c>
      <c r="C30" s="3"/>
      <c r="H30" s="71"/>
      <c r="I30" s="71"/>
      <c r="J30" s="71"/>
      <c r="K30" s="71"/>
      <c r="L30" s="71"/>
    </row>
    <row r="31" spans="2:13" ht="12">
      <c r="B31" s="6" t="s">
        <v>136</v>
      </c>
      <c r="C31" s="3"/>
      <c r="H31" s="71"/>
      <c r="I31" s="71"/>
      <c r="J31" s="71"/>
      <c r="K31" s="71"/>
      <c r="L31" s="71"/>
    </row>
    <row r="32" spans="2:13" ht="12">
      <c r="B32" s="25" t="s">
        <v>137</v>
      </c>
      <c r="C32" s="26">
        <v>10000000</v>
      </c>
      <c r="D32" s="26">
        <v>10000000</v>
      </c>
      <c r="E32" s="26">
        <v>10000000</v>
      </c>
      <c r="F32" s="26">
        <v>15000000</v>
      </c>
      <c r="G32" s="26">
        <v>15000000</v>
      </c>
      <c r="H32" s="88">
        <f>$G$32</f>
        <v>15000000</v>
      </c>
      <c r="I32" s="88">
        <f>$G$32</f>
        <v>15000000</v>
      </c>
      <c r="J32" s="88">
        <f>$G$32</f>
        <v>15000000</v>
      </c>
      <c r="K32" s="88">
        <f>$G$32</f>
        <v>15000000</v>
      </c>
      <c r="L32" s="88">
        <f>$G$32</f>
        <v>15000000</v>
      </c>
      <c r="M32" s="31" t="s">
        <v>116</v>
      </c>
    </row>
    <row r="33" spans="2:14" ht="12">
      <c r="B33" s="1" t="s">
        <v>138</v>
      </c>
      <c r="C33" s="3">
        <v>8721975</v>
      </c>
      <c r="D33" s="3">
        <v>8721975</v>
      </c>
      <c r="E33" s="3">
        <v>8721975</v>
      </c>
      <c r="F33" s="3">
        <v>8983635</v>
      </c>
      <c r="G33" s="3">
        <v>14014469</v>
      </c>
      <c r="H33" s="71"/>
      <c r="I33" s="71"/>
      <c r="J33" s="71"/>
      <c r="K33" s="71"/>
      <c r="L33" s="71"/>
    </row>
    <row r="34" spans="2:14" ht="12">
      <c r="B34" s="1" t="s">
        <v>139</v>
      </c>
      <c r="C34" s="3">
        <v>3791602</v>
      </c>
      <c r="D34" s="3">
        <v>3791602</v>
      </c>
      <c r="E34" s="3">
        <v>3791602</v>
      </c>
      <c r="F34" s="3">
        <v>3528149</v>
      </c>
      <c r="G34" s="3">
        <v>3150573</v>
      </c>
      <c r="H34" s="71"/>
      <c r="I34" s="71"/>
      <c r="J34" s="71"/>
      <c r="K34" s="71"/>
      <c r="L34" s="71"/>
    </row>
    <row r="35" spans="2:14" ht="12">
      <c r="B35" s="1" t="s">
        <v>140</v>
      </c>
      <c r="C35" s="3">
        <v>5366207</v>
      </c>
      <c r="D35" s="3">
        <v>4766115</v>
      </c>
      <c r="E35" s="3">
        <v>8001035</v>
      </c>
      <c r="F35" s="3">
        <v>17428486</v>
      </c>
      <c r="G35" s="3">
        <v>26641364</v>
      </c>
      <c r="H35" s="71"/>
      <c r="I35" s="71"/>
      <c r="J35" s="71"/>
      <c r="K35" s="71"/>
      <c r="L35" s="71"/>
    </row>
    <row r="36" spans="2:14" ht="12">
      <c r="B36" s="14" t="s">
        <v>121</v>
      </c>
      <c r="C36" s="16">
        <f>SUM(C33:C35)</f>
        <v>17879784</v>
      </c>
      <c r="D36" s="16">
        <f>SUM(D33:D35)</f>
        <v>17279692</v>
      </c>
      <c r="E36" s="16">
        <f>SUM(E33:E35)</f>
        <v>20514612</v>
      </c>
      <c r="F36" s="16">
        <f>SUM(F33:F35)</f>
        <v>29940270</v>
      </c>
      <c r="G36" s="16">
        <f>SUM(G33:G35)</f>
        <v>43806406</v>
      </c>
      <c r="H36" s="82">
        <f>CIE!H11</f>
        <v>58941245.051170252</v>
      </c>
      <c r="I36" s="82">
        <f>CIE!I11</f>
        <v>113137390.59193988</v>
      </c>
      <c r="J36" s="82">
        <f>CIE!J11</f>
        <v>181344324.43591151</v>
      </c>
      <c r="K36" s="82">
        <f>CIE!K11</f>
        <v>263075358.3973226</v>
      </c>
      <c r="L36" s="82">
        <f>CIE!L11</f>
        <v>354151570.89941519</v>
      </c>
      <c r="M36" s="33" t="s">
        <v>141</v>
      </c>
    </row>
    <row r="37" spans="2:14" ht="12">
      <c r="B37" s="6" t="s">
        <v>142</v>
      </c>
      <c r="C37" s="3"/>
      <c r="H37" s="71"/>
      <c r="I37" s="71"/>
      <c r="J37" s="71"/>
      <c r="K37" s="71"/>
      <c r="L37" s="71"/>
    </row>
    <row r="38" spans="2:14" ht="12">
      <c r="B38" s="1" t="s">
        <v>143</v>
      </c>
      <c r="C38" s="3">
        <v>3628745</v>
      </c>
      <c r="D38" s="3">
        <v>6861130</v>
      </c>
      <c r="E38" s="3">
        <v>8213978</v>
      </c>
      <c r="F38" s="3">
        <v>14396116</v>
      </c>
      <c r="G38" s="3">
        <v>15348901</v>
      </c>
      <c r="H38" s="71">
        <f>Financing!H31</f>
        <v>17150779.709390137</v>
      </c>
      <c r="I38" s="71">
        <f>Financing!I31</f>
        <v>17150779.709390137</v>
      </c>
      <c r="J38" s="71">
        <f>Financing!J31</f>
        <v>17150779.709390137</v>
      </c>
      <c r="K38" s="71">
        <f>Financing!K31</f>
        <v>17150779.709390137</v>
      </c>
      <c r="L38" s="71">
        <f>Financing!L31</f>
        <v>17150779.709390137</v>
      </c>
      <c r="M38" s="33" t="s">
        <v>32</v>
      </c>
      <c r="N38" s="20"/>
    </row>
    <row r="39" spans="2:14" ht="12">
      <c r="B39" s="1" t="s">
        <v>144</v>
      </c>
      <c r="C39" s="3">
        <v>0</v>
      </c>
      <c r="D39" s="3">
        <v>102158</v>
      </c>
      <c r="E39" s="3">
        <v>152969</v>
      </c>
      <c r="F39" s="3">
        <v>93973</v>
      </c>
      <c r="G39" s="3">
        <v>57011</v>
      </c>
      <c r="H39" s="71">
        <f>$G$39</f>
        <v>57011</v>
      </c>
      <c r="I39" s="71">
        <f>$G$39</f>
        <v>57011</v>
      </c>
      <c r="J39" s="71">
        <f>$G$39</f>
        <v>57011</v>
      </c>
      <c r="K39" s="71">
        <f>$G$39</f>
        <v>57011</v>
      </c>
      <c r="L39" s="71">
        <f>$G$39</f>
        <v>57011</v>
      </c>
      <c r="M39" s="31" t="s">
        <v>116</v>
      </c>
    </row>
    <row r="40" spans="2:14" ht="12">
      <c r="B40" s="1" t="s">
        <v>145</v>
      </c>
      <c r="C40" s="3">
        <v>2482623</v>
      </c>
      <c r="D40" s="3">
        <v>3140682</v>
      </c>
      <c r="E40" s="3">
        <v>3816001</v>
      </c>
      <c r="F40" s="3">
        <v>5048654</v>
      </c>
      <c r="G40" s="3">
        <v>7999204</v>
      </c>
      <c r="H40" s="71">
        <f>OL!H5</f>
        <v>12178267.726409908</v>
      </c>
      <c r="I40" s="71">
        <f>OL!I5</f>
        <v>23923753.511788882</v>
      </c>
      <c r="J40" s="71">
        <f>OL!J5</f>
        <v>35861188.048242323</v>
      </c>
      <c r="K40" s="71">
        <f>OL!K5</f>
        <v>53576406.141262308</v>
      </c>
      <c r="L40" s="71">
        <f>OL!L5</f>
        <v>80150239.514164582</v>
      </c>
      <c r="M40" s="33" t="s">
        <v>119</v>
      </c>
    </row>
    <row r="41" spans="2:14" ht="12">
      <c r="B41" s="14" t="s">
        <v>121</v>
      </c>
      <c r="C41" s="16">
        <f t="shared" ref="C41:L41" si="3">SUM(C38:C40)</f>
        <v>6111368</v>
      </c>
      <c r="D41" s="16">
        <f t="shared" si="3"/>
        <v>10103970</v>
      </c>
      <c r="E41" s="16">
        <f t="shared" si="3"/>
        <v>12182948</v>
      </c>
      <c r="F41" s="16">
        <f t="shared" si="3"/>
        <v>19538743</v>
      </c>
      <c r="G41" s="16">
        <f t="shared" si="3"/>
        <v>23405116</v>
      </c>
      <c r="H41" s="82">
        <f t="shared" si="3"/>
        <v>29386058.435800046</v>
      </c>
      <c r="I41" s="82">
        <f t="shared" si="3"/>
        <v>41131544.221179023</v>
      </c>
      <c r="J41" s="82">
        <f t="shared" si="3"/>
        <v>53068978.757632464</v>
      </c>
      <c r="K41" s="82">
        <f t="shared" si="3"/>
        <v>70784196.850652441</v>
      </c>
      <c r="L41" s="82">
        <f t="shared" si="3"/>
        <v>97358030.223554716</v>
      </c>
    </row>
    <row r="42" spans="2:14" ht="12">
      <c r="B42" s="6" t="s">
        <v>146</v>
      </c>
      <c r="C42" s="3"/>
      <c r="H42" s="71"/>
      <c r="I42" s="71"/>
      <c r="J42" s="71"/>
      <c r="K42" s="71"/>
      <c r="L42" s="71"/>
    </row>
    <row r="43" spans="2:14" ht="12">
      <c r="B43" s="1" t="s">
        <v>147</v>
      </c>
      <c r="C43" s="3">
        <v>3576861</v>
      </c>
      <c r="D43" s="3">
        <v>3031231</v>
      </c>
      <c r="E43" s="3">
        <v>5551641</v>
      </c>
      <c r="F43" s="3">
        <v>9084790</v>
      </c>
      <c r="G43" s="3">
        <v>12003908</v>
      </c>
      <c r="H43" s="71">
        <f>WC!H7</f>
        <v>19943783.574842509</v>
      </c>
      <c r="I43" s="71">
        <f>WC!I7</f>
        <v>32118082.332969029</v>
      </c>
      <c r="J43" s="71">
        <f>WC!J7</f>
        <v>51654371.553298309</v>
      </c>
      <c r="K43" s="71">
        <f>WC!K7</f>
        <v>82933002.202743649</v>
      </c>
      <c r="L43" s="71">
        <f>WC!L7</f>
        <v>132888407.79072446</v>
      </c>
      <c r="M43" s="90" t="s">
        <v>125</v>
      </c>
    </row>
    <row r="44" spans="2:14" ht="12">
      <c r="B44" s="1" t="s">
        <v>148</v>
      </c>
      <c r="C44" s="3">
        <v>130935</v>
      </c>
      <c r="D44" s="3">
        <v>2952</v>
      </c>
      <c r="E44" s="3">
        <v>4004</v>
      </c>
      <c r="F44" s="3">
        <v>3006</v>
      </c>
      <c r="G44" s="3">
        <v>4074</v>
      </c>
      <c r="H44" s="71">
        <f>$G$44</f>
        <v>4074</v>
      </c>
      <c r="I44" s="71">
        <f>$G$44</f>
        <v>4074</v>
      </c>
      <c r="J44" s="71">
        <f>$G$44</f>
        <v>4074</v>
      </c>
      <c r="K44" s="71">
        <f>$G$44</f>
        <v>4074</v>
      </c>
      <c r="L44" s="71">
        <f>$G$44</f>
        <v>4074</v>
      </c>
      <c r="M44" s="31" t="s">
        <v>116</v>
      </c>
    </row>
    <row r="45" spans="2:14" ht="12">
      <c r="B45" s="1" t="s">
        <v>149</v>
      </c>
      <c r="C45" s="3">
        <v>110483</v>
      </c>
      <c r="D45" s="3">
        <v>191136</v>
      </c>
      <c r="E45" s="3">
        <v>221674</v>
      </c>
      <c r="F45" s="3">
        <v>702689</v>
      </c>
      <c r="G45" s="3">
        <v>1830013</v>
      </c>
      <c r="H45" s="71">
        <f>OL!H6</f>
        <v>1247698.1865715797</v>
      </c>
      <c r="I45" s="71">
        <f>OL!I6</f>
        <v>2451056.6316350778</v>
      </c>
      <c r="J45" s="71">
        <f>OL!J6</f>
        <v>3674080.7725110371</v>
      </c>
      <c r="K45" s="71">
        <f>OL!K6</f>
        <v>5489055.2816891996</v>
      </c>
      <c r="L45" s="71">
        <f>OL!L6</f>
        <v>8211620.1369290631</v>
      </c>
      <c r="M45" s="33" t="s">
        <v>119</v>
      </c>
    </row>
    <row r="46" spans="2:14" ht="12">
      <c r="B46" s="1" t="s">
        <v>150</v>
      </c>
      <c r="C46" s="3">
        <v>11726000</v>
      </c>
      <c r="D46" s="3">
        <v>14354861</v>
      </c>
      <c r="E46" s="3">
        <v>19636066</v>
      </c>
      <c r="F46" s="3">
        <v>35007908</v>
      </c>
      <c r="G46" s="3">
        <v>42148912</v>
      </c>
      <c r="H46" s="71">
        <f>OL!H7</f>
        <v>63721081.329356655</v>
      </c>
      <c r="I46" s="71">
        <f>OL!I7</f>
        <v>125177691.72722732</v>
      </c>
      <c r="J46" s="71">
        <f>OL!J7</f>
        <v>187638647.09870702</v>
      </c>
      <c r="K46" s="71">
        <f>OL!K7</f>
        <v>280331046.23398137</v>
      </c>
      <c r="L46" s="71">
        <f>OL!L7</f>
        <v>419374909.91217446</v>
      </c>
      <c r="M46" s="33" t="s">
        <v>119</v>
      </c>
    </row>
    <row r="47" spans="2:14" ht="12">
      <c r="B47" s="1" t="s">
        <v>129</v>
      </c>
      <c r="C47" s="3">
        <v>0</v>
      </c>
      <c r="D47" s="3">
        <v>0</v>
      </c>
      <c r="E47" s="3">
        <v>33074</v>
      </c>
      <c r="F47" s="3">
        <v>94154</v>
      </c>
      <c r="G47" s="3">
        <v>0</v>
      </c>
      <c r="H47" s="71">
        <f>$G$47</f>
        <v>0</v>
      </c>
      <c r="I47" s="71">
        <f>$G$47</f>
        <v>0</v>
      </c>
      <c r="J47" s="71">
        <f>$G$47</f>
        <v>0</v>
      </c>
      <c r="K47" s="71">
        <f>$G$47</f>
        <v>0</v>
      </c>
      <c r="L47" s="71">
        <f>$G$47</f>
        <v>0</v>
      </c>
      <c r="M47" s="31" t="s">
        <v>116</v>
      </c>
    </row>
    <row r="48" spans="2:14" ht="12">
      <c r="B48" s="1" t="s">
        <v>151</v>
      </c>
      <c r="C48" s="3">
        <v>1247191</v>
      </c>
      <c r="D48" s="3">
        <v>403487</v>
      </c>
      <c r="E48" s="3">
        <v>2550820</v>
      </c>
      <c r="F48" s="3">
        <v>1943970</v>
      </c>
      <c r="G48" s="3">
        <v>2046291</v>
      </c>
      <c r="H48" s="71">
        <f>Financing!H32</f>
        <v>3193626.4534784551</v>
      </c>
      <c r="I48" s="71">
        <f>Financing!I32</f>
        <v>3193626.4534784551</v>
      </c>
      <c r="J48" s="71">
        <f>Financing!J32</f>
        <v>3193626.4534784551</v>
      </c>
      <c r="K48" s="71">
        <f>Financing!K32</f>
        <v>3193626.4534784551</v>
      </c>
      <c r="L48" s="71">
        <f>Financing!L32</f>
        <v>3193626.4534784551</v>
      </c>
      <c r="M48" s="33" t="s">
        <v>32</v>
      </c>
    </row>
    <row r="49" spans="2:13" ht="12">
      <c r="B49" s="14" t="s">
        <v>121</v>
      </c>
      <c r="C49" s="16">
        <f t="shared" ref="C49:H49" si="4">SUM(C43:C48)</f>
        <v>16791470</v>
      </c>
      <c r="D49" s="16">
        <f t="shared" si="4"/>
        <v>17983667</v>
      </c>
      <c r="E49" s="16">
        <f t="shared" si="4"/>
        <v>27997279</v>
      </c>
      <c r="F49" s="16">
        <f t="shared" si="4"/>
        <v>46836517</v>
      </c>
      <c r="G49" s="16">
        <f t="shared" si="4"/>
        <v>58033198</v>
      </c>
      <c r="H49" s="82">
        <f t="shared" si="4"/>
        <v>88110263.544249207</v>
      </c>
      <c r="I49" s="82">
        <f>SUM(I43:I48)</f>
        <v>162944531.14530987</v>
      </c>
      <c r="J49" s="82">
        <f>SUM(J43:J48)</f>
        <v>246164799.87799484</v>
      </c>
      <c r="K49" s="82">
        <f>SUM(K43:K48)</f>
        <v>371950804.17189264</v>
      </c>
      <c r="L49" s="82">
        <f>SUM(L43:L48)</f>
        <v>563672638.29330647</v>
      </c>
    </row>
    <row r="50" spans="2:13" ht="12">
      <c r="B50" s="1" t="s">
        <v>152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71">
        <f>$G$50</f>
        <v>0</v>
      </c>
      <c r="I50" s="71">
        <f>$G$50</f>
        <v>0</v>
      </c>
      <c r="J50" s="71">
        <f>$G$50</f>
        <v>0</v>
      </c>
      <c r="K50" s="71">
        <f>$G$50</f>
        <v>0</v>
      </c>
      <c r="L50" s="71">
        <f>$G$50</f>
        <v>0</v>
      </c>
      <c r="M50" s="31" t="s">
        <v>116</v>
      </c>
    </row>
    <row r="51" spans="2:13" s="6" customFormat="1" ht="12">
      <c r="B51" s="6" t="s">
        <v>153</v>
      </c>
      <c r="C51" s="9">
        <f>SUM(C41,C49)</f>
        <v>22902838</v>
      </c>
      <c r="D51" s="9">
        <f t="shared" ref="D51:L51" si="5">SUM(D41,D49)</f>
        <v>28087637</v>
      </c>
      <c r="E51" s="9">
        <f t="shared" si="5"/>
        <v>40180227</v>
      </c>
      <c r="F51" s="9">
        <f t="shared" si="5"/>
        <v>66375260</v>
      </c>
      <c r="G51" s="9">
        <f t="shared" si="5"/>
        <v>81438314</v>
      </c>
      <c r="H51" s="85">
        <f>SUM(H41,H49)</f>
        <v>117496321.98004925</v>
      </c>
      <c r="I51" s="85">
        <f t="shared" si="5"/>
        <v>204076075.36648887</v>
      </c>
      <c r="J51" s="85">
        <f t="shared" si="5"/>
        <v>299233778.63562727</v>
      </c>
      <c r="K51" s="85">
        <f t="shared" si="5"/>
        <v>442735001.0225451</v>
      </c>
      <c r="L51" s="85">
        <f t="shared" si="5"/>
        <v>661030668.5168612</v>
      </c>
      <c r="M51" s="113"/>
    </row>
    <row r="52" spans="2:13" ht="12.75" thickBot="1">
      <c r="B52" s="7" t="s">
        <v>154</v>
      </c>
      <c r="C52" s="8">
        <f t="shared" ref="C52:L52" si="6">SUM(C36,C41,C49:C50)</f>
        <v>40782622</v>
      </c>
      <c r="D52" s="8">
        <f t="shared" si="6"/>
        <v>45367329</v>
      </c>
      <c r="E52" s="8">
        <f t="shared" si="6"/>
        <v>60694839</v>
      </c>
      <c r="F52" s="8">
        <f t="shared" si="6"/>
        <v>96315530</v>
      </c>
      <c r="G52" s="8">
        <f t="shared" si="6"/>
        <v>125244720</v>
      </c>
      <c r="H52" s="83">
        <f t="shared" si="6"/>
        <v>176437567.03121951</v>
      </c>
      <c r="I52" s="83">
        <f t="shared" si="6"/>
        <v>317213465.95842874</v>
      </c>
      <c r="J52" s="83">
        <f t="shared" si="6"/>
        <v>480578103.07153881</v>
      </c>
      <c r="K52" s="83">
        <f t="shared" si="6"/>
        <v>705810359.41986775</v>
      </c>
      <c r="L52" s="83">
        <f t="shared" si="6"/>
        <v>1015182239.4162765</v>
      </c>
    </row>
    <row r="54" spans="2:13" s="20" customFormat="1" ht="12">
      <c r="B54" s="42" t="s">
        <v>155</v>
      </c>
      <c r="C54" s="43">
        <f t="shared" ref="C54:K54" si="7">C28-C52</f>
        <v>0</v>
      </c>
      <c r="D54" s="43">
        <f t="shared" si="7"/>
        <v>0</v>
      </c>
      <c r="E54" s="43">
        <f t="shared" si="7"/>
        <v>0</v>
      </c>
      <c r="F54" s="43">
        <f t="shared" si="7"/>
        <v>0</v>
      </c>
      <c r="G54" s="43">
        <f t="shared" si="7"/>
        <v>0</v>
      </c>
      <c r="H54" s="43">
        <f t="shared" si="7"/>
        <v>0</v>
      </c>
      <c r="I54" s="43">
        <f t="shared" si="7"/>
        <v>0</v>
      </c>
      <c r="J54" s="43">
        <f t="shared" si="7"/>
        <v>0</v>
      </c>
      <c r="K54" s="43">
        <f t="shared" si="7"/>
        <v>0</v>
      </c>
      <c r="L54" s="43">
        <f>L28-L52</f>
        <v>0</v>
      </c>
    </row>
    <row r="56" spans="2:13">
      <c r="F56" s="13"/>
      <c r="G56" s="1"/>
      <c r="H56" s="1"/>
    </row>
    <row r="57" spans="2:13">
      <c r="F57" s="13"/>
      <c r="G57" s="1"/>
      <c r="H57" s="1"/>
    </row>
    <row r="58" spans="2:13">
      <c r="F58" s="13"/>
      <c r="G58" s="1"/>
    </row>
  </sheetData>
  <mergeCells count="1">
    <mergeCell ref="C6:L6"/>
  </mergeCells>
  <hyperlinks>
    <hyperlink ref="M9" location="PPE!A1" display="PP&amp;E sheet" xr:uid="{40912CD8-6664-4BE5-B42C-A977F845188A}"/>
    <hyperlink ref="M17" location="WC!A1" display="Working capital sheet" xr:uid="{A7ADDE20-63A9-42B8-9FEF-BE90F9816E81}"/>
    <hyperlink ref="M18" location="WC!A1" display="Working capital sheet" xr:uid="{F217E37F-134B-48E1-B74F-0F937C19BAD3}"/>
    <hyperlink ref="M12" location="OA!A1" display="Grows as a % of revenues" xr:uid="{8B7842B0-4DEB-47B1-8960-C444C32F2534}"/>
    <hyperlink ref="M13" location="OA!A1" display="Grows as a % of revenues" xr:uid="{C07BCD2C-EFEB-44E4-A8E0-53E1284DFD39}"/>
    <hyperlink ref="M16" location="OA!A1" display="Grows as a % of revenues" xr:uid="{FE37A726-7A1A-49A0-A192-75EB811F7BFE}"/>
    <hyperlink ref="M19" location="OA!A1" display="Grows as a % of revenues" xr:uid="{496B893F-65A0-4F2D-B815-14039E51E452}"/>
    <hyperlink ref="M20" location="OA!A1" display="Grows as a % of revenues" xr:uid="{9CD04E79-457E-4328-BF64-5832D29D12D3}"/>
    <hyperlink ref="M22" location="OA!A1" display="Grows as a % of revenues" xr:uid="{B4F739BC-3C0E-4DEB-8C81-CE23073AC666}"/>
    <hyperlink ref="M23" location="OA!A1" display="Grows as a % of revenues" xr:uid="{00C338E9-467A-4DAD-9696-004622EA2BA5}"/>
    <hyperlink ref="M43" location="WC!A1" display="Working capital sheet" xr:uid="{298D6DAA-849C-40E9-B269-D129520E844E}"/>
    <hyperlink ref="M40" location="OL!A1" display="Grows as a % of revenues" xr:uid="{DC5B0FE6-8051-49D0-AF83-1709ECB1EA3E}"/>
    <hyperlink ref="M45:M46" location="OL!A1" display="Grows as a % of revenues" xr:uid="{3B30BE3C-7EB8-4456-9955-6936BE418D56}"/>
    <hyperlink ref="M38" location="Financing!A1" display="Financing" xr:uid="{E8E8A740-5F60-408C-82D5-C64209577670}"/>
    <hyperlink ref="M48" location="Financing!A1" display="Financing" xr:uid="{94B2D2B1-F352-41FE-A6A3-F065D5A3176C}"/>
    <hyperlink ref="M36" location="Equity!A1" display="Equity" xr:uid="{A47411F9-89D5-4E0B-B31A-6DE9D90D3CCE}"/>
    <hyperlink ref="M25" location="'CF 1'!A1" display="'CF 1'!A1" xr:uid="{400B38A6-8018-4015-B67C-EE91024B85D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9121D-8B1C-4D42-A3C3-11D5BBE10F26}">
  <dimension ref="B1:M80"/>
  <sheetViews>
    <sheetView topLeftCell="A63" workbookViewId="0">
      <selection activeCell="H70" sqref="H70"/>
    </sheetView>
  </sheetViews>
  <sheetFormatPr defaultRowHeight="12"/>
  <cols>
    <col min="1" max="1" width="2" style="1" customWidth="1"/>
    <col min="2" max="2" width="45.85546875" style="1" customWidth="1"/>
    <col min="3" max="5" width="11.7109375" style="1" customWidth="1"/>
    <col min="6" max="7" width="11.7109375" style="3" customWidth="1"/>
    <col min="8" max="8" width="11.7109375" style="1" customWidth="1"/>
    <col min="9" max="12" width="12.5703125" style="1" bestFit="1" customWidth="1"/>
    <col min="13" max="16384" width="9.140625" style="1"/>
  </cols>
  <sheetData>
    <row r="1" spans="2:12" ht="15.75">
      <c r="B1" s="41" t="s">
        <v>39</v>
      </c>
    </row>
    <row r="2" spans="2:12">
      <c r="B2" s="6" t="s">
        <v>156</v>
      </c>
    </row>
    <row r="3" spans="2:12">
      <c r="B3" s="6" t="s">
        <v>61</v>
      </c>
    </row>
    <row r="4" spans="2:12" ht="15">
      <c r="C4" s="4"/>
      <c r="D4" s="4"/>
      <c r="E4" s="4"/>
      <c r="F4" s="21"/>
    </row>
    <row r="5" spans="2:12">
      <c r="B5" s="11"/>
      <c r="C5" s="39" t="s">
        <v>62</v>
      </c>
      <c r="D5" s="39" t="s">
        <v>63</v>
      </c>
      <c r="E5" s="39" t="s">
        <v>64</v>
      </c>
      <c r="F5" s="40" t="s">
        <v>65</v>
      </c>
      <c r="G5" s="40" t="s">
        <v>66</v>
      </c>
      <c r="H5" s="39" t="s">
        <v>67</v>
      </c>
      <c r="I5" s="39" t="s">
        <v>68</v>
      </c>
      <c r="J5" s="39" t="s">
        <v>69</v>
      </c>
      <c r="K5" s="39" t="s">
        <v>70</v>
      </c>
      <c r="L5" s="39" t="s">
        <v>71</v>
      </c>
    </row>
    <row r="6" spans="2:12" ht="15.75" customHeight="1" thickBot="1">
      <c r="B6" s="55"/>
      <c r="C6" s="270" t="s">
        <v>72</v>
      </c>
      <c r="D6" s="270"/>
      <c r="E6" s="270"/>
      <c r="F6" s="270"/>
      <c r="G6" s="270"/>
      <c r="H6" s="270"/>
      <c r="I6" s="270"/>
      <c r="J6" s="270"/>
      <c r="K6" s="270"/>
      <c r="L6" s="270"/>
    </row>
    <row r="7" spans="2:12">
      <c r="B7" s="6" t="s">
        <v>157</v>
      </c>
    </row>
    <row r="8" spans="2:12">
      <c r="B8" s="6" t="s">
        <v>87</v>
      </c>
      <c r="C8" s="9">
        <f>'Income Statement'!C20</f>
        <v>5420983</v>
      </c>
      <c r="D8" s="9">
        <f>'Income Statement'!D20</f>
        <v>2115831</v>
      </c>
      <c r="E8" s="9">
        <f>'Income Statement'!E20</f>
        <v>6872863</v>
      </c>
      <c r="F8" s="9">
        <f>'Income Statement'!F20</f>
        <v>13423468</v>
      </c>
      <c r="G8" s="9">
        <f>'Income Statement'!G20</f>
        <v>21583855</v>
      </c>
      <c r="H8" s="85">
        <f>'Income Statement'!H20</f>
        <v>23953529.864402559</v>
      </c>
      <c r="I8" s="85">
        <f>'Income Statement'!I20</f>
        <v>96176024.894231468</v>
      </c>
      <c r="J8" s="85">
        <f>'Income Statement'!J20</f>
        <v>122698885.46830313</v>
      </c>
      <c r="K8" s="85">
        <f>'Income Statement'!K20</f>
        <v>147154762.71502906</v>
      </c>
      <c r="L8" s="85">
        <f>'Income Statement'!L20</f>
        <v>164053819.75061947</v>
      </c>
    </row>
    <row r="9" spans="2:12">
      <c r="B9" s="6" t="s">
        <v>158</v>
      </c>
      <c r="C9" s="3"/>
      <c r="D9" s="3"/>
      <c r="E9" s="3"/>
      <c r="H9" s="87"/>
      <c r="I9" s="87"/>
      <c r="J9" s="87"/>
      <c r="K9" s="87"/>
      <c r="L9" s="87"/>
    </row>
    <row r="10" spans="2:12">
      <c r="B10" s="1" t="s">
        <v>159</v>
      </c>
      <c r="C10" s="3">
        <v>1641234</v>
      </c>
      <c r="D10" s="3">
        <v>1980510</v>
      </c>
      <c r="E10" s="3">
        <v>2279613</v>
      </c>
      <c r="F10" s="3">
        <v>2774273</v>
      </c>
      <c r="G10" s="3">
        <v>3213744</v>
      </c>
      <c r="H10" s="71">
        <f>-PPE!H8</f>
        <v>6019750.4184452519</v>
      </c>
      <c r="I10" s="71">
        <f>-PPE!I8</f>
        <v>7938409.9625824811</v>
      </c>
      <c r="J10" s="71">
        <f>-PPE!J8</f>
        <v>10468598.920801241</v>
      </c>
      <c r="K10" s="71">
        <f>-PPE!K8</f>
        <v>13805228.487966521</v>
      </c>
      <c r="L10" s="71">
        <f>-PPE!L8</f>
        <v>18205333.401996028</v>
      </c>
    </row>
    <row r="11" spans="2:12">
      <c r="B11" s="1" t="s">
        <v>160</v>
      </c>
      <c r="C11" s="3">
        <v>9047</v>
      </c>
      <c r="D11" s="3">
        <v>14931</v>
      </c>
      <c r="E11" s="3">
        <v>18329</v>
      </c>
      <c r="F11" s="3">
        <v>47630</v>
      </c>
      <c r="G11" s="3">
        <v>62205</v>
      </c>
      <c r="H11" s="71">
        <f>-PPE!H9</f>
        <v>94982.122526432926</v>
      </c>
      <c r="I11" s="71">
        <f>-PPE!I9</f>
        <v>125255.52976759555</v>
      </c>
      <c r="J11" s="71">
        <f>-PPE!J9</f>
        <v>165177.90211515731</v>
      </c>
      <c r="K11" s="71">
        <f>-PPE!K9</f>
        <v>217824.62936197626</v>
      </c>
      <c r="L11" s="71">
        <f>-PPE!L9</f>
        <v>287251.31236745726</v>
      </c>
    </row>
    <row r="12" spans="2:12">
      <c r="B12" s="1" t="s">
        <v>161</v>
      </c>
      <c r="C12" s="3">
        <v>0</v>
      </c>
      <c r="D12" s="3">
        <v>16835</v>
      </c>
      <c r="E12" s="3">
        <v>41215</v>
      </c>
      <c r="F12" s="3">
        <v>63923</v>
      </c>
      <c r="G12" s="3">
        <v>96677</v>
      </c>
      <c r="H12" s="71">
        <f>-PPE!H10</f>
        <v>68868.837912541523</v>
      </c>
      <c r="I12" s="71">
        <f>-PPE!I10</f>
        <v>90819.225215918297</v>
      </c>
      <c r="J12" s="71">
        <f>-PPE!J10</f>
        <v>119765.80292082499</v>
      </c>
      <c r="K12" s="71">
        <f>-PPE!K10</f>
        <v>157938.44877192128</v>
      </c>
      <c r="L12" s="71">
        <f>-PPE!L10</f>
        <v>208277.76370331016</v>
      </c>
    </row>
    <row r="13" spans="2:12">
      <c r="B13" s="1" t="s">
        <v>162</v>
      </c>
      <c r="C13" s="3">
        <v>0</v>
      </c>
      <c r="D13" s="3">
        <v>43180</v>
      </c>
      <c r="E13" s="3">
        <v>140262</v>
      </c>
      <c r="F13" s="3">
        <v>273948</v>
      </c>
      <c r="G13" s="3">
        <v>440487</v>
      </c>
      <c r="H13" s="71">
        <v>0</v>
      </c>
      <c r="I13" s="71">
        <v>0</v>
      </c>
      <c r="J13" s="71">
        <v>0</v>
      </c>
      <c r="K13" s="71">
        <v>0</v>
      </c>
      <c r="L13" s="71">
        <v>0</v>
      </c>
    </row>
    <row r="14" spans="2:12">
      <c r="B14" s="1" t="s">
        <v>163</v>
      </c>
      <c r="C14" s="3">
        <v>285315</v>
      </c>
      <c r="D14" s="3">
        <v>112527</v>
      </c>
      <c r="E14" s="3">
        <v>369111</v>
      </c>
      <c r="F14" s="3">
        <v>721746</v>
      </c>
      <c r="G14" s="3">
        <v>1150770</v>
      </c>
      <c r="H14" s="71">
        <v>0</v>
      </c>
      <c r="I14" s="71">
        <v>0</v>
      </c>
      <c r="J14" s="71">
        <v>0</v>
      </c>
      <c r="K14" s="71">
        <v>0</v>
      </c>
      <c r="L14" s="71">
        <v>0</v>
      </c>
    </row>
    <row r="15" spans="2:12">
      <c r="B15" s="1" t="s">
        <v>164</v>
      </c>
      <c r="C15" s="3">
        <v>522833</v>
      </c>
      <c r="D15" s="3">
        <v>783277</v>
      </c>
      <c r="E15" s="3">
        <v>857791</v>
      </c>
      <c r="F15" s="3">
        <v>1154135</v>
      </c>
      <c r="G15" s="3">
        <v>1649159</v>
      </c>
      <c r="H15" s="71">
        <v>0</v>
      </c>
      <c r="I15" s="71">
        <v>0</v>
      </c>
      <c r="J15" s="71">
        <v>0</v>
      </c>
      <c r="K15" s="71">
        <v>0</v>
      </c>
      <c r="L15" s="71">
        <v>0</v>
      </c>
    </row>
    <row r="16" spans="2:12">
      <c r="B16" s="1" t="s">
        <v>165</v>
      </c>
      <c r="C16" s="3">
        <v>5031</v>
      </c>
      <c r="D16" s="3">
        <v>0</v>
      </c>
      <c r="E16" s="3">
        <v>0</v>
      </c>
      <c r="F16" s="3">
        <v>0</v>
      </c>
      <c r="G16" s="3">
        <v>6968</v>
      </c>
      <c r="H16" s="71">
        <v>0</v>
      </c>
      <c r="I16" s="71">
        <v>0</v>
      </c>
      <c r="J16" s="71">
        <v>0</v>
      </c>
      <c r="K16" s="71">
        <v>0</v>
      </c>
      <c r="L16" s="71">
        <v>0</v>
      </c>
    </row>
    <row r="17" spans="2:12">
      <c r="B17" s="1" t="s">
        <v>166</v>
      </c>
      <c r="C17" s="3">
        <v>47091</v>
      </c>
      <c r="D17" s="3">
        <v>17534</v>
      </c>
      <c r="E17" s="3">
        <v>19535</v>
      </c>
      <c r="F17" s="3">
        <v>15204</v>
      </c>
      <c r="G17" s="3">
        <v>49143</v>
      </c>
      <c r="H17" s="71">
        <v>0</v>
      </c>
      <c r="I17" s="71">
        <v>0</v>
      </c>
      <c r="J17" s="71">
        <v>0</v>
      </c>
      <c r="K17" s="71">
        <v>0</v>
      </c>
      <c r="L17" s="71">
        <v>0</v>
      </c>
    </row>
    <row r="18" spans="2:12">
      <c r="B18" s="1" t="s">
        <v>167</v>
      </c>
      <c r="C18" s="3">
        <v>0</v>
      </c>
      <c r="D18" s="3">
        <v>37011</v>
      </c>
      <c r="E18" s="3">
        <v>-36056</v>
      </c>
      <c r="F18" s="3">
        <v>20943</v>
      </c>
      <c r="G18" s="3">
        <v>-41197</v>
      </c>
      <c r="H18" s="71">
        <v>0</v>
      </c>
      <c r="I18" s="71">
        <v>0</v>
      </c>
      <c r="J18" s="71">
        <v>0</v>
      </c>
      <c r="K18" s="71">
        <v>0</v>
      </c>
      <c r="L18" s="71">
        <v>0</v>
      </c>
    </row>
    <row r="19" spans="2:12">
      <c r="B19" s="1" t="s">
        <v>168</v>
      </c>
      <c r="C19" s="3">
        <v>0</v>
      </c>
      <c r="D19" s="3">
        <v>7125</v>
      </c>
      <c r="E19" s="3">
        <v>434</v>
      </c>
      <c r="F19" s="3">
        <v>0</v>
      </c>
      <c r="G19" s="3">
        <v>14995</v>
      </c>
      <c r="H19" s="71">
        <v>0</v>
      </c>
      <c r="I19" s="71">
        <v>0</v>
      </c>
      <c r="J19" s="71">
        <v>0</v>
      </c>
      <c r="K19" s="71">
        <v>0</v>
      </c>
      <c r="L19" s="71">
        <v>0</v>
      </c>
    </row>
    <row r="20" spans="2:12">
      <c r="B20" s="1" t="s">
        <v>169</v>
      </c>
      <c r="C20" s="3" t="s">
        <v>170</v>
      </c>
      <c r="D20" s="3">
        <v>106843</v>
      </c>
      <c r="E20" s="3">
        <v>27251</v>
      </c>
      <c r="F20" s="3">
        <v>527775</v>
      </c>
      <c r="G20" s="3">
        <v>274060</v>
      </c>
      <c r="H20" s="71">
        <v>0</v>
      </c>
      <c r="I20" s="71">
        <v>0</v>
      </c>
      <c r="J20" s="71">
        <v>0</v>
      </c>
      <c r="K20" s="71">
        <v>0</v>
      </c>
      <c r="L20" s="71">
        <v>0</v>
      </c>
    </row>
    <row r="21" spans="2:12">
      <c r="B21" s="1" t="s">
        <v>171</v>
      </c>
      <c r="C21" s="3">
        <v>0</v>
      </c>
      <c r="D21" s="3">
        <v>0</v>
      </c>
      <c r="E21" s="3">
        <v>33074</v>
      </c>
      <c r="F21" s="3">
        <v>94154</v>
      </c>
      <c r="G21" s="3">
        <v>-21672</v>
      </c>
      <c r="H21" s="71">
        <v>0</v>
      </c>
      <c r="I21" s="71">
        <v>0</v>
      </c>
      <c r="J21" s="71">
        <v>0</v>
      </c>
      <c r="K21" s="71">
        <v>0</v>
      </c>
      <c r="L21" s="71">
        <v>0</v>
      </c>
    </row>
    <row r="22" spans="2:12">
      <c r="B22" s="1" t="s">
        <v>172</v>
      </c>
      <c r="C22" s="3">
        <v>20787</v>
      </c>
      <c r="D22" s="3">
        <v>5293</v>
      </c>
      <c r="E22" s="3">
        <v>0</v>
      </c>
      <c r="F22" s="3">
        <v>0</v>
      </c>
      <c r="G22" s="3">
        <v>0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</row>
    <row r="23" spans="2:12">
      <c r="B23" s="1" t="s">
        <v>173</v>
      </c>
      <c r="C23" s="3">
        <v>-182</v>
      </c>
      <c r="D23" s="3">
        <v>-36131</v>
      </c>
      <c r="E23" s="3">
        <v>-3088</v>
      </c>
      <c r="H23" s="71">
        <v>0</v>
      </c>
      <c r="I23" s="71">
        <v>0</v>
      </c>
      <c r="J23" s="71">
        <v>0</v>
      </c>
      <c r="K23" s="71">
        <v>0</v>
      </c>
      <c r="L23" s="71">
        <v>0</v>
      </c>
    </row>
    <row r="24" spans="2:12">
      <c r="B24" s="1" t="s">
        <v>174</v>
      </c>
      <c r="C24" s="3">
        <v>0</v>
      </c>
      <c r="D24" s="3">
        <v>-55606</v>
      </c>
      <c r="E24" s="3">
        <v>-45624</v>
      </c>
      <c r="F24" s="3">
        <v>-55441</v>
      </c>
      <c r="G24" s="3">
        <v>-95030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</row>
    <row r="25" spans="2:12">
      <c r="B25" s="1" t="s">
        <v>175</v>
      </c>
      <c r="C25" s="3">
        <v>-7211</v>
      </c>
      <c r="D25" s="3">
        <v>-1356</v>
      </c>
      <c r="E25" s="3">
        <v>-1152</v>
      </c>
      <c r="F25" s="3">
        <v>-1489</v>
      </c>
      <c r="G25" s="3">
        <v>0</v>
      </c>
      <c r="H25" s="71">
        <v>0</v>
      </c>
      <c r="I25" s="71">
        <v>0</v>
      </c>
      <c r="J25" s="71">
        <v>0</v>
      </c>
      <c r="K25" s="71">
        <v>0</v>
      </c>
      <c r="L25" s="71">
        <v>0</v>
      </c>
    </row>
    <row r="26" spans="2:12">
      <c r="B26" s="1" t="s">
        <v>176</v>
      </c>
      <c r="C26" s="3">
        <v>70814</v>
      </c>
      <c r="D26" s="3">
        <v>0</v>
      </c>
      <c r="E26" s="3">
        <v>-70814</v>
      </c>
      <c r="F26" s="3">
        <v>0</v>
      </c>
      <c r="G26" s="3">
        <v>0</v>
      </c>
      <c r="H26" s="71">
        <v>0</v>
      </c>
      <c r="I26" s="71">
        <v>0</v>
      </c>
      <c r="J26" s="71">
        <v>0</v>
      </c>
      <c r="K26" s="71">
        <v>0</v>
      </c>
      <c r="L26" s="71">
        <v>0</v>
      </c>
    </row>
    <row r="27" spans="2:12">
      <c r="B27" s="1" t="s">
        <v>177</v>
      </c>
      <c r="C27" s="3">
        <v>-5796</v>
      </c>
      <c r="D27" s="3">
        <v>-5796</v>
      </c>
      <c r="E27" s="3">
        <v>-5308</v>
      </c>
      <c r="F27" s="3">
        <v>0</v>
      </c>
      <c r="G27" s="3">
        <v>0</v>
      </c>
      <c r="H27" s="71">
        <v>0</v>
      </c>
      <c r="I27" s="71">
        <v>0</v>
      </c>
      <c r="J27" s="71">
        <v>0</v>
      </c>
      <c r="K27" s="71">
        <v>0</v>
      </c>
      <c r="L27" s="71">
        <v>0</v>
      </c>
    </row>
    <row r="28" spans="2:12">
      <c r="B28" s="1" t="s">
        <v>86</v>
      </c>
      <c r="C28" s="3">
        <v>995707</v>
      </c>
      <c r="D28" s="3">
        <v>1137162</v>
      </c>
      <c r="E28" s="3">
        <v>1147038</v>
      </c>
      <c r="F28" s="3">
        <v>2492950</v>
      </c>
      <c r="G28" s="3">
        <v>5527536</v>
      </c>
      <c r="H28" s="71">
        <f>-'Income Statement'!H19</f>
        <v>3017359.1903570308</v>
      </c>
      <c r="I28" s="71">
        <f>-'Income Statement'!I19</f>
        <v>2828163.5740784337</v>
      </c>
      <c r="J28" s="71">
        <f>-'Income Statement'!J19</f>
        <v>2828163.5740784337</v>
      </c>
      <c r="K28" s="71">
        <f>-'Income Statement'!K19</f>
        <v>2828163.5740784337</v>
      </c>
      <c r="L28" s="71">
        <f>-'Income Statement'!L19</f>
        <v>2828163.5740784337</v>
      </c>
    </row>
    <row r="29" spans="2:12">
      <c r="B29" s="14" t="s">
        <v>178</v>
      </c>
      <c r="C29" s="16">
        <f t="shared" ref="C29:H29" si="0">SUM(C8:C28)</f>
        <v>9005653</v>
      </c>
      <c r="D29" s="16">
        <f t="shared" si="0"/>
        <v>6279170</v>
      </c>
      <c r="E29" s="16">
        <f t="shared" si="0"/>
        <v>11644474</v>
      </c>
      <c r="F29" s="16">
        <f t="shared" si="0"/>
        <v>21553219</v>
      </c>
      <c r="G29" s="16">
        <f t="shared" si="0"/>
        <v>33911700</v>
      </c>
      <c r="H29" s="82">
        <f t="shared" si="0"/>
        <v>33154490.433643814</v>
      </c>
      <c r="I29" s="82">
        <f>SUM(I8:I28)</f>
        <v>107158673.18587591</v>
      </c>
      <c r="J29" s="82">
        <f>SUM(J8:J28)</f>
        <v>136280591.66821876</v>
      </c>
      <c r="K29" s="82">
        <f>SUM(K8:K28)</f>
        <v>164163917.85520792</v>
      </c>
      <c r="L29" s="82">
        <f>SUM(L8:L28)</f>
        <v>185582845.80276471</v>
      </c>
    </row>
    <row r="30" spans="2:12">
      <c r="B30" s="6" t="s">
        <v>179</v>
      </c>
      <c r="C30" s="3"/>
      <c r="D30" s="3"/>
      <c r="E30" s="3"/>
      <c r="H30" s="71"/>
      <c r="I30" s="71"/>
      <c r="J30" s="71"/>
      <c r="K30" s="71"/>
      <c r="L30" s="71"/>
    </row>
    <row r="31" spans="2:12">
      <c r="B31" s="6" t="s">
        <v>180</v>
      </c>
      <c r="C31" s="3"/>
      <c r="D31" s="3"/>
      <c r="E31" s="3"/>
      <c r="H31" s="71"/>
      <c r="I31" s="71"/>
      <c r="J31" s="71"/>
      <c r="K31" s="71"/>
      <c r="L31" s="71"/>
    </row>
    <row r="32" spans="2:12">
      <c r="B32" s="1" t="s">
        <v>181</v>
      </c>
      <c r="C32" s="3">
        <v>-108461</v>
      </c>
      <c r="D32" s="3">
        <v>-174865</v>
      </c>
      <c r="E32" s="3">
        <v>-126666</v>
      </c>
      <c r="F32" s="3">
        <v>-667301</v>
      </c>
      <c r="G32" s="3">
        <v>-624558</v>
      </c>
      <c r="H32" s="71">
        <f>-('Financial Position'!H16-'Financial Position'!G16)</f>
        <v>-1612805.8560877168</v>
      </c>
      <c r="I32" s="71">
        <f>-('Financial Position'!I16-'Financial Position'!H16)</f>
        <v>-3957943.8385115885</v>
      </c>
      <c r="J32" s="71">
        <f>-('Financial Position'!J16-'Financial Position'!I16)</f>
        <v>-4022625.912161612</v>
      </c>
      <c r="K32" s="71">
        <f>-('Financial Position'!K16-'Financial Position'!J16)</f>
        <v>-5969598.8382565808</v>
      </c>
      <c r="L32" s="71">
        <f>-('Financial Position'!L16-'Financial Position'!K16)</f>
        <v>-8954737.3336264752</v>
      </c>
    </row>
    <row r="33" spans="2:12">
      <c r="B33" s="1" t="s">
        <v>182</v>
      </c>
      <c r="C33" s="3">
        <v>-1160773</v>
      </c>
      <c r="D33" s="3">
        <v>-2535259</v>
      </c>
      <c r="E33" s="3">
        <v>-2056846</v>
      </c>
      <c r="F33" s="3">
        <v>-11865740</v>
      </c>
      <c r="G33" s="3">
        <v>3413238</v>
      </c>
      <c r="H33" s="71">
        <f>-('Financial Position'!H17-'Financial Position'!G17)</f>
        <v>-12323699.316711176</v>
      </c>
      <c r="I33" s="71">
        <f>-('Financial Position'!I17-'Financial Position'!H17)</f>
        <v>-19565837.289846186</v>
      </c>
      <c r="J33" s="71">
        <f>-('Financial Position'!J17-'Financial Position'!I17)</f>
        <v>-31397607.675529219</v>
      </c>
      <c r="K33" s="71">
        <f>-('Financial Position'!K17-'Financial Position'!J17)</f>
        <v>-50269227.829465717</v>
      </c>
      <c r="L33" s="71">
        <f>-('Financial Position'!L17-'Financial Position'!K17)</f>
        <v>-80285473.266397715</v>
      </c>
    </row>
    <row r="34" spans="2:12">
      <c r="B34" s="1" t="s">
        <v>183</v>
      </c>
      <c r="C34" s="3">
        <v>-954732</v>
      </c>
      <c r="D34" s="3">
        <v>1040349</v>
      </c>
      <c r="E34" s="3">
        <v>-7632722</v>
      </c>
      <c r="F34" s="3">
        <v>-13551025</v>
      </c>
      <c r="G34" s="3">
        <v>-5534700</v>
      </c>
      <c r="H34" s="71">
        <f>-('Financial Position'!H18-'Financial Position'!G18)</f>
        <v>-16658458.585781842</v>
      </c>
      <c r="I34" s="71">
        <f>-('Financial Position'!I18-'Financial Position'!H18)</f>
        <v>-48991934.355414674</v>
      </c>
      <c r="J34" s="71">
        <f>-('Financial Position'!J18-'Financial Position'!I18)</f>
        <v>-49792577.324473515</v>
      </c>
      <c r="K34" s="71">
        <f>-('Financial Position'!K18-'Financial Position'!J18)</f>
        <v>-73892456.877813727</v>
      </c>
      <c r="L34" s="71">
        <f>-('Financial Position'!L18-'Financial Position'!K18)</f>
        <v>-110842882.4457472</v>
      </c>
    </row>
    <row r="35" spans="2:12">
      <c r="B35" s="1" t="s">
        <v>184</v>
      </c>
      <c r="C35" s="3">
        <v>-436565</v>
      </c>
      <c r="D35" s="3">
        <v>571644</v>
      </c>
      <c r="E35" s="3">
        <v>-469075</v>
      </c>
      <c r="F35" s="3">
        <v>-575394</v>
      </c>
      <c r="G35" s="3">
        <v>-427178</v>
      </c>
      <c r="H35" s="71">
        <f>-('Financial Position'!H19-'Financial Position'!G19)</f>
        <v>-1287561.4695359766</v>
      </c>
      <c r="I35" s="71">
        <f>-('Financial Position'!I19-'Financial Position'!H19)</f>
        <v>-3279478.6299626259</v>
      </c>
      <c r="J35" s="71">
        <f>-('Financial Position'!J19-'Financial Position'!I19)</f>
        <v>-3333072.9928267254</v>
      </c>
      <c r="K35" s="71">
        <f>-('Financial Position'!K19-'Financial Position'!J19)</f>
        <v>-4946298.5373926628</v>
      </c>
      <c r="L35" s="71">
        <f>-('Financial Position'!L19-'Financial Position'!K19)</f>
        <v>-7419728.758354526</v>
      </c>
    </row>
    <row r="36" spans="2:12">
      <c r="B36" s="1" t="s">
        <v>185</v>
      </c>
      <c r="C36" s="3">
        <v>-12114</v>
      </c>
      <c r="D36" s="3">
        <v>17322</v>
      </c>
      <c r="E36" s="3">
        <v>-114482</v>
      </c>
      <c r="F36" s="3">
        <v>-679783</v>
      </c>
      <c r="G36" s="3">
        <v>326617</v>
      </c>
      <c r="H36" s="71">
        <f>-('Financial Position'!H20-'Financial Position'!G20)</f>
        <v>-491178.62457451876</v>
      </c>
      <c r="I36" s="71">
        <f>-('Financial Position'!I20-'Financial Position'!H20)</f>
        <v>-1121720.9521484873</v>
      </c>
      <c r="J36" s="71">
        <f>-('Financial Position'!J20-'Financial Position'!I20)</f>
        <v>-1140052.5000940813</v>
      </c>
      <c r="K36" s="71">
        <f>-('Financial Position'!K20-'Financial Position'!J20)</f>
        <v>-1691844.1407980747</v>
      </c>
      <c r="L36" s="71">
        <f>-('Financial Position'!L20-'Financial Position'!K20)</f>
        <v>-2537862.3088023616</v>
      </c>
    </row>
    <row r="37" spans="2:12">
      <c r="B37" s="184" t="s">
        <v>130</v>
      </c>
      <c r="C37" s="213"/>
      <c r="D37" s="213"/>
      <c r="E37" s="213"/>
      <c r="F37" s="213"/>
      <c r="G37" s="213"/>
      <c r="H37" s="213">
        <f>-('Financial Position'!H22-'Financial Position'!G22)</f>
        <v>-14019.541445517865</v>
      </c>
      <c r="I37" s="213">
        <f>-('Financial Position'!I22-'Financial Position'!H22)</f>
        <v>-15086.648801216161</v>
      </c>
      <c r="J37" s="213">
        <f>-('Financial Position'!J22-'Financial Position'!I22)</f>
        <v>-15333.199982513186</v>
      </c>
      <c r="K37" s="213">
        <f>-('Financial Position'!K22-'Financial Position'!J22)</f>
        <v>-22754.552573639645</v>
      </c>
      <c r="L37" s="213">
        <f>-('Financial Position'!L22-'Financial Position'!K22)</f>
        <v>-34133.121330586044</v>
      </c>
    </row>
    <row r="38" spans="2:12">
      <c r="B38" s="184" t="s">
        <v>186</v>
      </c>
      <c r="C38" s="213"/>
      <c r="D38" s="213"/>
      <c r="E38" s="213"/>
      <c r="F38" s="213"/>
      <c r="G38" s="213"/>
      <c r="H38" s="213">
        <f>'Financial Position'!H45-'Financial Position'!G45</f>
        <v>-582314.81342842034</v>
      </c>
      <c r="I38" s="213">
        <f>'Financial Position'!I45-'Financial Position'!H45</f>
        <v>1203358.4450634981</v>
      </c>
      <c r="J38" s="213">
        <f>'Financial Position'!J45-'Financial Position'!I45</f>
        <v>1223024.1408759593</v>
      </c>
      <c r="K38" s="213">
        <f>'Financial Position'!K45-'Financial Position'!J45</f>
        <v>1814974.5091781626</v>
      </c>
      <c r="L38" s="213">
        <f>'Financial Position'!L45-'Financial Position'!K45</f>
        <v>2722564.8552398635</v>
      </c>
    </row>
    <row r="39" spans="2:12">
      <c r="B39" s="184" t="s">
        <v>187</v>
      </c>
      <c r="C39" s="213"/>
      <c r="D39" s="213"/>
      <c r="E39" s="213"/>
      <c r="F39" s="213"/>
      <c r="G39" s="213"/>
      <c r="H39" s="213">
        <f>'Financial Position'!H40-'Financial Position'!G40</f>
        <v>4179063.7264099084</v>
      </c>
      <c r="I39" s="213">
        <f>'Financial Position'!I40-'Financial Position'!H40</f>
        <v>11745485.785378974</v>
      </c>
      <c r="J39" s="213">
        <f>'Financial Position'!J40-'Financial Position'!I40</f>
        <v>11937434.536453441</v>
      </c>
      <c r="K39" s="213">
        <f>'Financial Position'!K40-'Financial Position'!J40</f>
        <v>17715218.093019985</v>
      </c>
      <c r="L39" s="213">
        <f>'Financial Position'!L40-'Financial Position'!K40</f>
        <v>26573833.372902274</v>
      </c>
    </row>
    <row r="40" spans="2:12">
      <c r="B40" s="1" t="s">
        <v>188</v>
      </c>
      <c r="C40" s="3">
        <v>403246</v>
      </c>
      <c r="D40" s="3">
        <v>-218701</v>
      </c>
      <c r="E40" s="3">
        <v>-1876611</v>
      </c>
      <c r="F40" s="3">
        <v>-378500</v>
      </c>
      <c r="G40" s="3">
        <v>-598853</v>
      </c>
      <c r="H40" s="71">
        <f>-('Financial Position'!H23-'Financial Position'!G23)</f>
        <v>-5230908.2511013914</v>
      </c>
      <c r="I40" s="71">
        <f>-('Financial Position'!I23-'Financial Position'!H23)</f>
        <v>-9634715.1611508299</v>
      </c>
      <c r="J40" s="71">
        <f>-('Financial Position'!J23-'Financial Position'!I23)</f>
        <v>-9792168.9758277275</v>
      </c>
      <c r="K40" s="71">
        <f>-('Financial Position'!K23-'Financial Position'!J23)</f>
        <v>-14531632.27666416</v>
      </c>
      <c r="L40" s="71">
        <f>-('Financial Position'!L23-'Financial Position'!K23)</f>
        <v>-21798273.819079556</v>
      </c>
    </row>
    <row r="41" spans="2:12">
      <c r="B41" s="1" t="s">
        <v>189</v>
      </c>
      <c r="C41" s="3">
        <v>-4258</v>
      </c>
      <c r="D41" s="3">
        <v>125603</v>
      </c>
      <c r="E41" s="3">
        <v>0</v>
      </c>
      <c r="F41" s="3">
        <v>0</v>
      </c>
      <c r="G41" s="3">
        <v>0</v>
      </c>
      <c r="H41" s="71">
        <v>0</v>
      </c>
      <c r="I41" s="71">
        <v>0</v>
      </c>
      <c r="J41" s="71">
        <v>0</v>
      </c>
      <c r="K41" s="71">
        <v>0</v>
      </c>
      <c r="L41" s="71">
        <v>0</v>
      </c>
    </row>
    <row r="42" spans="2:12">
      <c r="B42" s="6" t="s">
        <v>190</v>
      </c>
      <c r="C42" s="3"/>
      <c r="D42" s="3"/>
      <c r="E42" s="3"/>
      <c r="H42" s="71"/>
      <c r="I42" s="71"/>
      <c r="J42" s="71"/>
      <c r="K42" s="71"/>
      <c r="L42" s="71"/>
    </row>
    <row r="43" spans="2:12">
      <c r="B43" s="1" t="s">
        <v>191</v>
      </c>
      <c r="C43" s="3">
        <v>744150</v>
      </c>
      <c r="D43" s="3">
        <v>-433974</v>
      </c>
      <c r="E43" s="3">
        <v>2071469</v>
      </c>
      <c r="F43" s="3">
        <v>2902411</v>
      </c>
      <c r="G43" s="3">
        <v>2049347</v>
      </c>
      <c r="H43" s="71">
        <f>'Financial Position'!H43-'Financial Position'!G43</f>
        <v>7939875.5748425089</v>
      </c>
      <c r="I43" s="71">
        <f>'Financial Position'!I43-'Financial Position'!H43</f>
        <v>12174298.75812652</v>
      </c>
      <c r="J43" s="71">
        <f>'Financial Position'!J43-'Financial Position'!I43</f>
        <v>19536289.220329281</v>
      </c>
      <c r="K43" s="71">
        <f>'Financial Position'!K43-'Financial Position'!J43</f>
        <v>31278630.64944534</v>
      </c>
      <c r="L43" s="71">
        <f>'Financial Position'!L43-'Financial Position'!K43</f>
        <v>49955405.587980807</v>
      </c>
    </row>
    <row r="44" spans="2:12">
      <c r="C44" s="9">
        <f t="shared" ref="C44:H44" si="1">SUM(C32:C43)</f>
        <v>-1529507</v>
      </c>
      <c r="D44" s="9">
        <f t="shared" si="1"/>
        <v>-1607881</v>
      </c>
      <c r="E44" s="9">
        <f t="shared" si="1"/>
        <v>-10204933</v>
      </c>
      <c r="F44" s="9">
        <f t="shared" si="1"/>
        <v>-24815332</v>
      </c>
      <c r="G44" s="9">
        <f t="shared" si="1"/>
        <v>-1396087</v>
      </c>
      <c r="H44" s="85">
        <f t="shared" si="1"/>
        <v>-26082007.157414142</v>
      </c>
      <c r="I44" s="85">
        <f>SUM(I32:I43)</f>
        <v>-61443573.887266614</v>
      </c>
      <c r="J44" s="85">
        <f>SUM(J32:J43)</f>
        <v>-66796690.683236703</v>
      </c>
      <c r="K44" s="85">
        <f>SUM(K32:K43)</f>
        <v>-100514989.80132107</v>
      </c>
      <c r="L44" s="85">
        <f>SUM(L32:L43)</f>
        <v>-152621287.23721546</v>
      </c>
    </row>
    <row r="45" spans="2:12">
      <c r="B45" s="14" t="s">
        <v>192</v>
      </c>
      <c r="C45" s="16">
        <f t="shared" ref="C45:H45" si="2">SUM(C29,C44)</f>
        <v>7476146</v>
      </c>
      <c r="D45" s="16">
        <f t="shared" si="2"/>
        <v>4671289</v>
      </c>
      <c r="E45" s="16">
        <f t="shared" si="2"/>
        <v>1439541</v>
      </c>
      <c r="F45" s="16">
        <f t="shared" si="2"/>
        <v>-3262113</v>
      </c>
      <c r="G45" s="16">
        <f t="shared" si="2"/>
        <v>32515613</v>
      </c>
      <c r="H45" s="82">
        <f t="shared" si="2"/>
        <v>7072483.2762296721</v>
      </c>
      <c r="I45" s="82">
        <f>SUM(I29,I44)</f>
        <v>45715099.298609294</v>
      </c>
      <c r="J45" s="82">
        <f>SUM(J29,J44)</f>
        <v>69483900.984982058</v>
      </c>
      <c r="K45" s="82">
        <f>SUM(K29,K44)</f>
        <v>63648928.053886846</v>
      </c>
      <c r="L45" s="82">
        <f>SUM(L29,L44)</f>
        <v>32961558.565549254</v>
      </c>
    </row>
    <row r="46" spans="2:12">
      <c r="B46" s="1" t="s">
        <v>193</v>
      </c>
      <c r="C46" s="3">
        <v>-1001655</v>
      </c>
      <c r="D46" s="3">
        <v>-1049053</v>
      </c>
      <c r="E46" s="3">
        <v>-1097987</v>
      </c>
      <c r="F46" s="3">
        <v>-1976543</v>
      </c>
      <c r="G46" s="3">
        <v>-4357365</v>
      </c>
      <c r="H46" s="71">
        <f>-H28</f>
        <v>-3017359.1903570308</v>
      </c>
      <c r="I46" s="71">
        <f>-I28</f>
        <v>-2828163.5740784337</v>
      </c>
      <c r="J46" s="71">
        <f>-J28</f>
        <v>-2828163.5740784337</v>
      </c>
      <c r="K46" s="71">
        <f>-K28</f>
        <v>-2828163.5740784337</v>
      </c>
      <c r="L46" s="71">
        <f>-L28</f>
        <v>-2828163.5740784337</v>
      </c>
    </row>
    <row r="47" spans="2:12">
      <c r="B47" s="1" t="s">
        <v>194</v>
      </c>
      <c r="C47" s="3">
        <v>-238195</v>
      </c>
      <c r="D47" s="3">
        <v>-448202</v>
      </c>
      <c r="E47" s="3">
        <v>-531448</v>
      </c>
      <c r="F47" s="3">
        <v>-581855</v>
      </c>
      <c r="G47" s="3">
        <v>-1347032</v>
      </c>
      <c r="H47" s="71">
        <f>'Income Statement'!H22</f>
        <v>-7186058.9593207678</v>
      </c>
      <c r="I47" s="71">
        <f>'Income Statement'!I22</f>
        <v>-28852807.468269441</v>
      </c>
      <c r="J47" s="71">
        <f>'Income Statement'!J22</f>
        <v>-36809665.640490934</v>
      </c>
      <c r="K47" s="71">
        <f>'Income Statement'!K22</f>
        <v>-44146428.814508714</v>
      </c>
      <c r="L47" s="71">
        <f>'Income Statement'!L22</f>
        <v>-49216145.925185837</v>
      </c>
    </row>
    <row r="48" spans="2:12">
      <c r="B48" s="1" t="s">
        <v>195</v>
      </c>
      <c r="C48" s="3">
        <v>-131021</v>
      </c>
      <c r="D48" s="3">
        <v>-122931</v>
      </c>
      <c r="E48" s="3">
        <v>-281467</v>
      </c>
      <c r="F48" s="3">
        <v>-337353</v>
      </c>
      <c r="G48" s="3">
        <v>-351023</v>
      </c>
      <c r="H48" s="71">
        <v>0</v>
      </c>
      <c r="I48" s="71">
        <v>0</v>
      </c>
      <c r="J48" s="71">
        <v>0</v>
      </c>
      <c r="K48" s="71">
        <v>0</v>
      </c>
      <c r="L48" s="71">
        <v>0</v>
      </c>
    </row>
    <row r="49" spans="2:12">
      <c r="B49" s="1" t="s">
        <v>196</v>
      </c>
      <c r="C49" s="3">
        <v>-232069</v>
      </c>
      <c r="D49" s="3">
        <v>-288315</v>
      </c>
      <c r="E49" s="3">
        <v>-119000</v>
      </c>
      <c r="F49" s="3">
        <v>-380983</v>
      </c>
      <c r="G49" s="3">
        <v>-748441</v>
      </c>
      <c r="H49" s="71">
        <v>0</v>
      </c>
      <c r="I49" s="71">
        <v>0</v>
      </c>
      <c r="J49" s="71">
        <v>0</v>
      </c>
      <c r="K49" s="71">
        <v>0</v>
      </c>
      <c r="L49" s="71">
        <v>0</v>
      </c>
    </row>
    <row r="50" spans="2:12">
      <c r="B50" s="1" t="s">
        <v>197</v>
      </c>
      <c r="C50" s="3">
        <v>-14049</v>
      </c>
      <c r="D50" s="3">
        <v>-42293</v>
      </c>
      <c r="E50" s="3">
        <v>-88237</v>
      </c>
      <c r="F50" s="3">
        <v>-58285</v>
      </c>
      <c r="G50" s="3">
        <v>-31801</v>
      </c>
      <c r="H50" s="71">
        <f>-('Financial Position'!H12-'Financial Position'!G12)</f>
        <v>-231398.00858908275</v>
      </c>
      <c r="I50" s="71">
        <f>-('Financial Position'!I12-'Financial Position'!H12)</f>
        <v>-365778.29934239876</v>
      </c>
      <c r="J50" s="71">
        <f>-('Financial Position'!J12-'Financial Position'!I12)</f>
        <v>-371755.97357502312</v>
      </c>
      <c r="K50" s="71">
        <f>-('Financial Position'!K12-'Financial Position'!J12)</f>
        <v>-551687.89652027749</v>
      </c>
      <c r="L50" s="71">
        <f>-('Financial Position'!L12-'Financial Position'!K12)</f>
        <v>-827563.18093273719</v>
      </c>
    </row>
    <row r="51" spans="2:12">
      <c r="B51" s="1" t="s">
        <v>198</v>
      </c>
      <c r="C51" s="3">
        <v>-3202</v>
      </c>
      <c r="D51" s="3">
        <v>-10318</v>
      </c>
      <c r="E51" s="3">
        <v>-16505</v>
      </c>
      <c r="F51" s="3">
        <v>-26477</v>
      </c>
      <c r="G51" s="3">
        <v>5254</v>
      </c>
      <c r="H51" s="71">
        <f>-('Financial Position'!H13-'Financial Position'!G13)</f>
        <v>-78848.356271814235</v>
      </c>
      <c r="I51" s="71">
        <f>-('Financial Position'!I13-'Financial Position'!H13)</f>
        <v>-154843.87634646308</v>
      </c>
      <c r="J51" s="71">
        <f>-('Financial Position'!J13-'Financial Position'!I13)</f>
        <v>-157374.3880016926</v>
      </c>
      <c r="K51" s="71">
        <f>-('Financial Position'!K13-'Financial Position'!J13)</f>
        <v>-233544.45188302663</v>
      </c>
      <c r="L51" s="71">
        <f>-('Financial Position'!L13-'Financial Position'!K13)</f>
        <v>-350329.94326785346</v>
      </c>
    </row>
    <row r="52" spans="2:12">
      <c r="B52" s="1" t="s">
        <v>199</v>
      </c>
      <c r="C52" s="3">
        <v>0</v>
      </c>
      <c r="D52" s="3">
        <v>-106843</v>
      </c>
      <c r="E52" s="3">
        <v>-27251</v>
      </c>
      <c r="F52" s="3">
        <v>-527775</v>
      </c>
      <c r="G52" s="3">
        <v>-274060</v>
      </c>
      <c r="H52" s="71">
        <v>0</v>
      </c>
      <c r="I52" s="71">
        <v>0</v>
      </c>
      <c r="J52" s="71">
        <v>0</v>
      </c>
      <c r="K52" s="71">
        <v>0</v>
      </c>
      <c r="L52" s="71">
        <v>0</v>
      </c>
    </row>
    <row r="53" spans="2:12">
      <c r="B53" s="1" t="s">
        <v>200</v>
      </c>
      <c r="C53" s="3">
        <v>182</v>
      </c>
      <c r="D53" s="3">
        <v>36131</v>
      </c>
      <c r="E53" s="3">
        <v>3132</v>
      </c>
      <c r="F53" s="3">
        <v>0</v>
      </c>
      <c r="G53" s="3">
        <v>0</v>
      </c>
      <c r="H53" s="71">
        <v>0</v>
      </c>
      <c r="I53" s="71">
        <v>0</v>
      </c>
      <c r="J53" s="71">
        <v>0</v>
      </c>
      <c r="K53" s="71">
        <v>0</v>
      </c>
      <c r="L53" s="71">
        <v>0</v>
      </c>
    </row>
    <row r="54" spans="2:12">
      <c r="B54" s="1" t="s">
        <v>201</v>
      </c>
      <c r="C54" s="3">
        <v>0</v>
      </c>
      <c r="D54" s="3">
        <v>-37011</v>
      </c>
      <c r="E54" s="3">
        <v>11538</v>
      </c>
      <c r="F54" s="3">
        <v>-54459</v>
      </c>
      <c r="G54" s="3">
        <v>-52957</v>
      </c>
      <c r="H54" s="71">
        <v>0</v>
      </c>
      <c r="I54" s="71">
        <v>0</v>
      </c>
      <c r="J54" s="71">
        <v>0</v>
      </c>
      <c r="K54" s="71">
        <v>0</v>
      </c>
      <c r="L54" s="71">
        <v>0</v>
      </c>
    </row>
    <row r="55" spans="2:12" ht="12.75" thickBot="1">
      <c r="B55" s="7" t="s">
        <v>202</v>
      </c>
      <c r="C55" s="8">
        <f t="shared" ref="C55:L55" si="3">SUM(C45:C54)</f>
        <v>5856137</v>
      </c>
      <c r="D55" s="8">
        <f t="shared" si="3"/>
        <v>2602454</v>
      </c>
      <c r="E55" s="8">
        <f t="shared" si="3"/>
        <v>-707684</v>
      </c>
      <c r="F55" s="8">
        <f t="shared" si="3"/>
        <v>-7205843</v>
      </c>
      <c r="G55" s="8">
        <f t="shared" si="3"/>
        <v>25358188</v>
      </c>
      <c r="H55" s="83">
        <f t="shared" si="3"/>
        <v>-3441181.2383090234</v>
      </c>
      <c r="I55" s="83">
        <f t="shared" si="3"/>
        <v>13513506.080572557</v>
      </c>
      <c r="J55" s="83">
        <f t="shared" si="3"/>
        <v>29316941.408835977</v>
      </c>
      <c r="K55" s="83">
        <f t="shared" si="3"/>
        <v>15889103.316896394</v>
      </c>
      <c r="L55" s="83">
        <f t="shared" si="3"/>
        <v>-20260644.057915606</v>
      </c>
    </row>
    <row r="56" spans="2:12">
      <c r="C56" s="3"/>
      <c r="D56" s="3"/>
      <c r="E56" s="3"/>
      <c r="H56" s="71"/>
      <c r="I56" s="71"/>
      <c r="J56" s="71"/>
      <c r="K56" s="71"/>
      <c r="L56" s="71"/>
    </row>
    <row r="57" spans="2:12">
      <c r="B57" s="6" t="s">
        <v>203</v>
      </c>
      <c r="C57" s="3"/>
      <c r="D57" s="3"/>
      <c r="E57" s="3"/>
      <c r="H57" s="71"/>
      <c r="I57" s="71"/>
      <c r="J57" s="71"/>
      <c r="K57" s="71"/>
      <c r="L57" s="71"/>
    </row>
    <row r="58" spans="2:12">
      <c r="B58" s="1" t="s">
        <v>204</v>
      </c>
      <c r="C58" s="3"/>
      <c r="D58" s="3"/>
      <c r="E58" s="3"/>
      <c r="H58" s="71"/>
      <c r="I58" s="71"/>
      <c r="J58" s="71"/>
      <c r="K58" s="71"/>
      <c r="L58" s="71"/>
    </row>
    <row r="59" spans="2:12">
      <c r="B59" s="1" t="s">
        <v>205</v>
      </c>
      <c r="C59" s="3">
        <v>-4632295</v>
      </c>
      <c r="D59" s="3">
        <v>-6422247</v>
      </c>
      <c r="E59" s="3">
        <v>-5077335</v>
      </c>
      <c r="F59" s="3">
        <v>-11423547</v>
      </c>
      <c r="G59" s="3">
        <v>-27296865</v>
      </c>
      <c r="H59" s="71">
        <f>-PPE!H7</f>
        <v>-24877236.672372609</v>
      </c>
      <c r="I59" s="71">
        <f>-PPE!I7</f>
        <v>-32806294.233788267</v>
      </c>
      <c r="J59" s="71">
        <f>-PPE!J7</f>
        <v>-43262559.886690341</v>
      </c>
      <c r="K59" s="71">
        <f>-PPE!K7</f>
        <v>-57051524.156050406</v>
      </c>
      <c r="L59" s="71">
        <f>-PPE!L7</f>
        <v>-75235409.486939788</v>
      </c>
    </row>
    <row r="60" spans="2:12">
      <c r="B60" s="1" t="s">
        <v>206</v>
      </c>
      <c r="C60" s="3">
        <v>-32798</v>
      </c>
      <c r="D60" s="3">
        <v>-120229</v>
      </c>
      <c r="E60" s="3">
        <v>-81439</v>
      </c>
      <c r="F60" s="3">
        <v>-65464</v>
      </c>
      <c r="G60" s="3">
        <v>-229364</v>
      </c>
      <c r="H60" s="71">
        <f>'Financial Position'!H10-'Financial Position'!G10</f>
        <v>0</v>
      </c>
      <c r="I60" s="71">
        <f>'Financial Position'!I10-'Financial Position'!H10</f>
        <v>0</v>
      </c>
      <c r="J60" s="71">
        <f>'Financial Position'!J10-'Financial Position'!I10</f>
        <v>0</v>
      </c>
      <c r="K60" s="71">
        <f>'Financial Position'!K10-'Financial Position'!J10</f>
        <v>0</v>
      </c>
      <c r="L60" s="71">
        <f>'Financial Position'!L10-'Financial Position'!K10</f>
        <v>0</v>
      </c>
    </row>
    <row r="61" spans="2:12">
      <c r="B61" s="1" t="s">
        <v>207</v>
      </c>
      <c r="C61" s="3">
        <v>139466</v>
      </c>
      <c r="D61" s="3">
        <v>48636</v>
      </c>
      <c r="E61" s="3">
        <v>90848</v>
      </c>
      <c r="F61" s="3">
        <v>43179</v>
      </c>
      <c r="G61" s="3">
        <v>82564</v>
      </c>
      <c r="H61" s="71">
        <v>0</v>
      </c>
      <c r="I61" s="71">
        <v>0</v>
      </c>
      <c r="J61" s="71">
        <v>0</v>
      </c>
      <c r="K61" s="71">
        <v>0</v>
      </c>
      <c r="L61" s="71">
        <v>0</v>
      </c>
    </row>
    <row r="62" spans="2:12">
      <c r="B62" s="1" t="s">
        <v>208</v>
      </c>
      <c r="C62" s="3">
        <v>0</v>
      </c>
      <c r="D62" s="3">
        <v>55000</v>
      </c>
      <c r="E62" s="3">
        <v>45609</v>
      </c>
      <c r="F62" s="3">
        <v>54933</v>
      </c>
      <c r="G62" s="3">
        <v>94536</v>
      </c>
      <c r="H62" s="71">
        <v>0</v>
      </c>
      <c r="I62" s="71">
        <v>0</v>
      </c>
      <c r="J62" s="71">
        <v>0</v>
      </c>
      <c r="K62" s="71">
        <v>0</v>
      </c>
      <c r="L62" s="71">
        <v>0</v>
      </c>
    </row>
    <row r="63" spans="2:12">
      <c r="B63" s="1" t="s">
        <v>209</v>
      </c>
      <c r="C63" s="3">
        <v>-699000</v>
      </c>
      <c r="D63" s="3">
        <v>-845000</v>
      </c>
      <c r="E63" s="3">
        <v>404067</v>
      </c>
      <c r="F63" s="3">
        <v>0</v>
      </c>
      <c r="G63" s="3">
        <v>0</v>
      </c>
      <c r="H63" s="71">
        <v>0</v>
      </c>
      <c r="I63" s="71">
        <v>0</v>
      </c>
      <c r="J63" s="71">
        <v>0</v>
      </c>
      <c r="K63" s="71">
        <v>0</v>
      </c>
      <c r="L63" s="71">
        <v>0</v>
      </c>
    </row>
    <row r="64" spans="2:12" ht="12.75" thickBot="1">
      <c r="B64" s="7" t="s">
        <v>210</v>
      </c>
      <c r="C64" s="8">
        <f t="shared" ref="C64:L64" si="4">SUM(C59:C63)</f>
        <v>-5224627</v>
      </c>
      <c r="D64" s="8">
        <f t="shared" si="4"/>
        <v>-7283840</v>
      </c>
      <c r="E64" s="8">
        <f t="shared" si="4"/>
        <v>-4618250</v>
      </c>
      <c r="F64" s="8">
        <f t="shared" si="4"/>
        <v>-11390899</v>
      </c>
      <c r="G64" s="8">
        <f t="shared" si="4"/>
        <v>-27349129</v>
      </c>
      <c r="H64" s="83">
        <f t="shared" si="4"/>
        <v>-24877236.672372609</v>
      </c>
      <c r="I64" s="83">
        <f t="shared" si="4"/>
        <v>-32806294.233788267</v>
      </c>
      <c r="J64" s="83">
        <f t="shared" si="4"/>
        <v>-43262559.886690341</v>
      </c>
      <c r="K64" s="83">
        <f t="shared" si="4"/>
        <v>-57051524.156050406</v>
      </c>
      <c r="L64" s="83">
        <f t="shared" si="4"/>
        <v>-75235409.486939788</v>
      </c>
    </row>
    <row r="65" spans="2:13">
      <c r="C65" s="3"/>
      <c r="D65" s="3"/>
      <c r="E65" s="3"/>
      <c r="H65" s="71"/>
      <c r="I65" s="71"/>
      <c r="J65" s="71"/>
      <c r="K65" s="71"/>
      <c r="L65" s="71"/>
    </row>
    <row r="66" spans="2:13">
      <c r="B66" s="6" t="s">
        <v>211</v>
      </c>
      <c r="C66" s="3"/>
      <c r="D66" s="3"/>
      <c r="E66" s="3"/>
      <c r="H66" s="71"/>
      <c r="I66" s="71"/>
      <c r="J66" s="71"/>
      <c r="K66" s="71"/>
      <c r="L66" s="71"/>
    </row>
    <row r="67" spans="2:13">
      <c r="B67" s="1" t="s">
        <v>212</v>
      </c>
      <c r="C67" s="3">
        <v>4228002</v>
      </c>
      <c r="D67" s="3">
        <v>4592913</v>
      </c>
      <c r="E67" s="3">
        <v>3997643</v>
      </c>
      <c r="F67" s="3">
        <v>8480399</v>
      </c>
      <c r="G67" s="3">
        <v>10895588</v>
      </c>
      <c r="H67" s="71">
        <f>'Financial Position'!H38+'Financial Position'!H48-'Financial Position'!G38-'Financial Position'!G48</f>
        <v>2949214.1628685929</v>
      </c>
      <c r="I67" s="71">
        <f>'Financial Position'!I38+'Financial Position'!I48-'Financial Position'!H38-'Financial Position'!H48</f>
        <v>0</v>
      </c>
      <c r="J67" s="71">
        <f>'Financial Position'!J38+'Financial Position'!J48-'Financial Position'!I38-'Financial Position'!I48</f>
        <v>0</v>
      </c>
      <c r="K67" s="71">
        <f>'Financial Position'!K38+'Financial Position'!K48-'Financial Position'!J38-'Financial Position'!J48</f>
        <v>0</v>
      </c>
      <c r="L67" s="71">
        <f>'Financial Position'!L38+'Financial Position'!L48-'Financial Position'!K38-'Financial Position'!K48</f>
        <v>0</v>
      </c>
      <c r="M67" s="1" t="s">
        <v>213</v>
      </c>
    </row>
    <row r="68" spans="2:13">
      <c r="B68" s="1" t="s">
        <v>214</v>
      </c>
      <c r="C68" s="3">
        <v>-2568542</v>
      </c>
      <c r="D68" s="3">
        <v>-2204245</v>
      </c>
      <c r="E68" s="3">
        <v>-747505</v>
      </c>
      <c r="F68" s="3">
        <v>-2757691</v>
      </c>
      <c r="G68" s="3">
        <v>-9874900</v>
      </c>
      <c r="H68" s="71">
        <v>0</v>
      </c>
      <c r="I68" s="71">
        <v>0</v>
      </c>
      <c r="J68" s="71">
        <v>0</v>
      </c>
      <c r="K68" s="71">
        <v>0</v>
      </c>
      <c r="L68" s="71">
        <v>0</v>
      </c>
    </row>
    <row r="69" spans="2:13">
      <c r="B69" s="1" t="s">
        <v>215</v>
      </c>
      <c r="C69" s="3">
        <v>-847</v>
      </c>
      <c r="D69" s="3">
        <v>-13605</v>
      </c>
      <c r="E69" s="3">
        <v>-50297</v>
      </c>
      <c r="F69" s="3">
        <v>-83416</v>
      </c>
      <c r="G69" s="3">
        <v>-119616</v>
      </c>
      <c r="H69" s="71">
        <v>0</v>
      </c>
      <c r="I69" s="71">
        <v>0</v>
      </c>
      <c r="J69" s="71">
        <v>0</v>
      </c>
      <c r="K69" s="71">
        <v>0</v>
      </c>
      <c r="L69" s="71">
        <v>0</v>
      </c>
    </row>
    <row r="70" spans="2:13">
      <c r="B70" s="1" t="s">
        <v>216</v>
      </c>
      <c r="C70" s="3">
        <v>-3454937</v>
      </c>
      <c r="D70" s="3">
        <v>2628861</v>
      </c>
      <c r="E70" s="3">
        <v>4393453</v>
      </c>
      <c r="F70" s="3">
        <v>15371842</v>
      </c>
      <c r="G70" s="3">
        <v>7141004</v>
      </c>
      <c r="H70" s="71">
        <f>'Financial Position'!H46-'Financial Position'!G46</f>
        <v>21572169.329356655</v>
      </c>
      <c r="I70" s="71">
        <f>'Financial Position'!I46-'Financial Position'!H46</f>
        <v>61456610.39787066</v>
      </c>
      <c r="J70" s="71">
        <f>'Financial Position'!J46-'Financial Position'!I46</f>
        <v>62460955.371479705</v>
      </c>
      <c r="K70" s="71">
        <f>'Financial Position'!K46-'Financial Position'!J46</f>
        <v>92692399.135274351</v>
      </c>
      <c r="L70" s="71">
        <f>'Financial Position'!L46-'Financial Position'!K46</f>
        <v>139043863.67819309</v>
      </c>
    </row>
    <row r="71" spans="2:13">
      <c r="B71" s="1" t="s">
        <v>217</v>
      </c>
      <c r="C71" s="3">
        <v>1102558</v>
      </c>
      <c r="D71" s="3">
        <v>0</v>
      </c>
      <c r="E71" s="3">
        <v>0</v>
      </c>
      <c r="F71" s="3">
        <v>0</v>
      </c>
      <c r="G71" s="3">
        <v>0</v>
      </c>
      <c r="H71" s="71">
        <f>Financing!H26</f>
        <v>1684882.9852064578</v>
      </c>
      <c r="I71" s="71">
        <f>Financing!I26</f>
        <v>0</v>
      </c>
      <c r="J71" s="71">
        <f>Financing!J26</f>
        <v>0</v>
      </c>
      <c r="K71" s="71">
        <f>Financing!K26</f>
        <v>0</v>
      </c>
      <c r="L71" s="71">
        <f>Financing!L26</f>
        <v>0</v>
      </c>
      <c r="M71" s="1" t="s">
        <v>218</v>
      </c>
    </row>
    <row r="72" spans="2:13">
      <c r="B72" s="1" t="s">
        <v>219</v>
      </c>
      <c r="C72" s="3">
        <v>3782976</v>
      </c>
      <c r="D72" s="3">
        <v>0</v>
      </c>
      <c r="E72" s="3">
        <v>0</v>
      </c>
      <c r="F72" s="3">
        <v>0</v>
      </c>
      <c r="G72" s="3">
        <v>0</v>
      </c>
      <c r="H72" s="71">
        <v>0</v>
      </c>
      <c r="I72" s="71">
        <v>0</v>
      </c>
      <c r="J72" s="71">
        <v>0</v>
      </c>
      <c r="K72" s="71">
        <v>0</v>
      </c>
      <c r="L72" s="71">
        <v>0</v>
      </c>
    </row>
    <row r="73" spans="2:13">
      <c r="B73" s="1" t="s">
        <v>220</v>
      </c>
      <c r="C73" s="3">
        <v>0</v>
      </c>
      <c r="D73" s="3">
        <v>0</v>
      </c>
      <c r="E73" s="3">
        <v>0</v>
      </c>
      <c r="F73" s="3">
        <v>-1793</v>
      </c>
      <c r="G73" s="3">
        <v>-25199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</row>
    <row r="74" spans="2:13">
      <c r="B74" s="1" t="s">
        <v>221</v>
      </c>
      <c r="C74" s="3">
        <v>-1434588</v>
      </c>
      <c r="D74" s="3">
        <v>-2526526</v>
      </c>
      <c r="E74" s="3">
        <v>-2179442</v>
      </c>
      <c r="F74" s="3">
        <v>-2669922</v>
      </c>
      <c r="G74" s="3">
        <v>-4598553</v>
      </c>
      <c r="H74" s="71">
        <f>-Div!H5</f>
        <v>-3317514.8391179936</v>
      </c>
      <c r="I74" s="71">
        <f>-Div!I5</f>
        <v>-13127071.885192407</v>
      </c>
      <c r="J74" s="71">
        <f>-Div!J5</f>
        <v>-17682285.983840559</v>
      </c>
      <c r="K74" s="71">
        <f>-Div!K5</f>
        <v>-21277299.939109273</v>
      </c>
      <c r="L74" s="71">
        <f>-Div!L5</f>
        <v>-23761461.323341064</v>
      </c>
    </row>
    <row r="75" spans="2:13" ht="12.75" thickBot="1">
      <c r="B75" s="7" t="s">
        <v>222</v>
      </c>
      <c r="C75" s="8">
        <f t="shared" ref="C75:L75" si="5">SUM(C67:C74)</f>
        <v>1654622</v>
      </c>
      <c r="D75" s="8">
        <f t="shared" si="5"/>
        <v>2477398</v>
      </c>
      <c r="E75" s="8">
        <f t="shared" si="5"/>
        <v>5413852</v>
      </c>
      <c r="F75" s="8">
        <f t="shared" si="5"/>
        <v>18339419</v>
      </c>
      <c r="G75" s="8">
        <f t="shared" si="5"/>
        <v>3418324</v>
      </c>
      <c r="H75" s="83">
        <f t="shared" si="5"/>
        <v>22888751.638313714</v>
      </c>
      <c r="I75" s="83">
        <f t="shared" si="5"/>
        <v>48329538.512678251</v>
      </c>
      <c r="J75" s="83">
        <f t="shared" si="5"/>
        <v>44778669.38763915</v>
      </c>
      <c r="K75" s="83">
        <f t="shared" si="5"/>
        <v>71415099.196165085</v>
      </c>
      <c r="L75" s="83">
        <f t="shared" si="5"/>
        <v>115282402.35485202</v>
      </c>
    </row>
    <row r="76" spans="2:13">
      <c r="C76" s="3"/>
      <c r="D76" s="3"/>
      <c r="E76" s="3"/>
      <c r="H76" s="71"/>
      <c r="I76" s="71"/>
      <c r="J76" s="71"/>
      <c r="K76" s="71"/>
      <c r="L76" s="71"/>
    </row>
    <row r="77" spans="2:13">
      <c r="B77" s="6" t="s">
        <v>223</v>
      </c>
      <c r="C77" s="3">
        <f t="shared" ref="C77:L77" si="6">SUM(C55,C64,C75)</f>
        <v>2286132</v>
      </c>
      <c r="D77" s="3">
        <f t="shared" si="6"/>
        <v>-2203988</v>
      </c>
      <c r="E77" s="3">
        <f t="shared" si="6"/>
        <v>87918</v>
      </c>
      <c r="F77" s="3">
        <f t="shared" si="6"/>
        <v>-257323</v>
      </c>
      <c r="G77" s="3">
        <f t="shared" si="6"/>
        <v>1427383</v>
      </c>
      <c r="H77" s="71">
        <f t="shared" si="6"/>
        <v>-5429666.272367917</v>
      </c>
      <c r="I77" s="71">
        <f t="shared" si="6"/>
        <v>29036750.359462541</v>
      </c>
      <c r="J77" s="71">
        <f t="shared" si="6"/>
        <v>30833050.909784786</v>
      </c>
      <c r="K77" s="71">
        <f t="shared" si="6"/>
        <v>30252678.357011072</v>
      </c>
      <c r="L77" s="71">
        <f t="shared" si="6"/>
        <v>19786348.809996635</v>
      </c>
    </row>
    <row r="78" spans="2:13">
      <c r="B78" s="6" t="s">
        <v>224</v>
      </c>
      <c r="C78" s="3"/>
      <c r="D78" s="3">
        <v>0</v>
      </c>
      <c r="E78" s="3">
        <v>10693</v>
      </c>
      <c r="F78" s="3">
        <v>0</v>
      </c>
      <c r="G78" s="3">
        <v>0</v>
      </c>
      <c r="H78" s="71"/>
      <c r="I78" s="71"/>
      <c r="J78" s="71"/>
      <c r="K78" s="71"/>
      <c r="L78" s="71"/>
    </row>
    <row r="79" spans="2:13">
      <c r="B79" s="6" t="s">
        <v>225</v>
      </c>
      <c r="C79" s="3">
        <v>193687</v>
      </c>
      <c r="D79" s="3">
        <v>2479819</v>
      </c>
      <c r="E79" s="3">
        <v>275831</v>
      </c>
      <c r="F79" s="3">
        <v>374442</v>
      </c>
      <c r="G79" s="3">
        <f>'Financial Position'!F25</f>
        <v>117119</v>
      </c>
      <c r="H79" s="71">
        <f>'Financial Position'!G25</f>
        <v>1544502</v>
      </c>
      <c r="I79" s="71">
        <f>'Financial Position'!H25</f>
        <v>-3885164.272367917</v>
      </c>
      <c r="J79" s="71">
        <f>'Financial Position'!I25</f>
        <v>25151586.087094624</v>
      </c>
      <c r="K79" s="71">
        <f>'Financial Position'!J25</f>
        <v>55984636.996879414</v>
      </c>
      <c r="L79" s="71">
        <f>'Financial Position'!K25</f>
        <v>86237315.353890479</v>
      </c>
    </row>
    <row r="80" spans="2:13" ht="12.75" thickBot="1">
      <c r="B80" s="7" t="s">
        <v>226</v>
      </c>
      <c r="C80" s="8">
        <f t="shared" ref="C80:L80" si="7">SUM(C77:C79)</f>
        <v>2479819</v>
      </c>
      <c r="D80" s="8">
        <f t="shared" si="7"/>
        <v>275831</v>
      </c>
      <c r="E80" s="8">
        <f t="shared" si="7"/>
        <v>374442</v>
      </c>
      <c r="F80" s="8">
        <f t="shared" si="7"/>
        <v>117119</v>
      </c>
      <c r="G80" s="8">
        <f t="shared" si="7"/>
        <v>1544502</v>
      </c>
      <c r="H80" s="83">
        <f t="shared" si="7"/>
        <v>-3885164.272367917</v>
      </c>
      <c r="I80" s="83">
        <f t="shared" si="7"/>
        <v>25151586.087094624</v>
      </c>
      <c r="J80" s="83">
        <f t="shared" si="7"/>
        <v>55984636.996879414</v>
      </c>
      <c r="K80" s="83">
        <f t="shared" si="7"/>
        <v>86237315.353890479</v>
      </c>
      <c r="L80" s="83">
        <f t="shared" si="7"/>
        <v>106023664.16388711</v>
      </c>
    </row>
  </sheetData>
  <mergeCells count="1">
    <mergeCell ref="C6:L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D2255-33AC-4256-92EF-69A023CCAD58}">
  <dimension ref="B1:M56"/>
  <sheetViews>
    <sheetView zoomScaleNormal="100" workbookViewId="0">
      <selection activeCell="B34" sqref="B34"/>
    </sheetView>
  </sheetViews>
  <sheetFormatPr defaultRowHeight="12"/>
  <cols>
    <col min="1" max="1" width="2" style="1" customWidth="1"/>
    <col min="2" max="2" width="45.85546875" style="1" customWidth="1"/>
    <col min="3" max="5" width="9.140625" style="1" customWidth="1"/>
    <col min="6" max="6" width="13.5703125" style="3" bestFit="1" customWidth="1"/>
    <col min="7" max="7" width="9.140625" style="3" customWidth="1"/>
    <col min="8" max="12" width="15.7109375" style="1" customWidth="1"/>
    <col min="13" max="13" width="9.7109375" style="1" customWidth="1"/>
    <col min="14" max="16384" width="9.140625" style="1"/>
  </cols>
  <sheetData>
    <row r="1" spans="2:12" s="173" customFormat="1" ht="15.75">
      <c r="B1" s="2" t="s">
        <v>227</v>
      </c>
      <c r="F1" s="174"/>
      <c r="G1" s="174"/>
    </row>
    <row r="2" spans="2:12">
      <c r="C2" s="4"/>
      <c r="D2" s="4"/>
      <c r="E2" s="4"/>
      <c r="H2" s="20"/>
      <c r="I2" s="20"/>
    </row>
    <row r="3" spans="2:12">
      <c r="B3" s="11"/>
      <c r="C3" s="39" t="s">
        <v>62</v>
      </c>
      <c r="D3" s="39" t="s">
        <v>63</v>
      </c>
      <c r="E3" s="39" t="s">
        <v>64</v>
      </c>
      <c r="F3" s="40" t="s">
        <v>65</v>
      </c>
      <c r="G3" s="40" t="s">
        <v>66</v>
      </c>
      <c r="H3" s="39" t="s">
        <v>67</v>
      </c>
      <c r="I3" s="39" t="s">
        <v>68</v>
      </c>
      <c r="J3" s="39" t="s">
        <v>69</v>
      </c>
      <c r="K3" s="39" t="s">
        <v>70</v>
      </c>
      <c r="L3" s="39" t="s">
        <v>71</v>
      </c>
    </row>
    <row r="4" spans="2:12" ht="12.75" thickBot="1">
      <c r="B4" s="55"/>
      <c r="C4" s="270" t="s">
        <v>72</v>
      </c>
      <c r="D4" s="270"/>
      <c r="E4" s="270"/>
      <c r="F4" s="270"/>
      <c r="G4" s="270"/>
      <c r="H4" s="270"/>
      <c r="I4" s="270"/>
      <c r="J4" s="270"/>
      <c r="K4" s="270"/>
      <c r="L4" s="270"/>
    </row>
    <row r="5" spans="2:12">
      <c r="B5" s="1" t="s">
        <v>157</v>
      </c>
    </row>
    <row r="6" spans="2:12">
      <c r="B6" s="1" t="s">
        <v>228</v>
      </c>
      <c r="C6" s="3"/>
      <c r="D6" s="3"/>
      <c r="E6" s="3"/>
      <c r="H6" s="71">
        <f>'Income Statement'!H17</f>
        <v>26970889.054759588</v>
      </c>
      <c r="I6" s="71">
        <f>'Income Statement'!I17</f>
        <v>99004188.468309909</v>
      </c>
      <c r="J6" s="71">
        <f>'Income Statement'!J17</f>
        <v>125527049.04238157</v>
      </c>
      <c r="K6" s="71">
        <f>'Income Statement'!K17</f>
        <v>149982926.2891075</v>
      </c>
      <c r="L6" s="71">
        <f>'Income Statement'!L17</f>
        <v>166881983.32469791</v>
      </c>
    </row>
    <row r="7" spans="2:12">
      <c r="B7" s="1" t="s">
        <v>229</v>
      </c>
      <c r="C7" s="3"/>
      <c r="D7" s="3"/>
      <c r="E7" s="3"/>
      <c r="H7" s="71">
        <f>-H6*Drivers!$C$11</f>
        <v>-8091266.7164278757</v>
      </c>
      <c r="I7" s="71">
        <f>-I6*Drivers!$C$11</f>
        <v>-29701256.54049297</v>
      </c>
      <c r="J7" s="71">
        <f>-J6*Drivers!$C$11</f>
        <v>-37658114.712714471</v>
      </c>
      <c r="K7" s="71">
        <f>-K6*Drivers!$C$11</f>
        <v>-44994877.88673225</v>
      </c>
      <c r="L7" s="71">
        <f>-L6*Drivers!$C$11</f>
        <v>-50064594.997409374</v>
      </c>
    </row>
    <row r="8" spans="2:12">
      <c r="B8" s="14" t="s">
        <v>230</v>
      </c>
      <c r="C8" s="16"/>
      <c r="D8" s="16"/>
      <c r="E8" s="16"/>
      <c r="F8" s="16"/>
      <c r="G8" s="16"/>
      <c r="H8" s="82">
        <f>SUM(H6:H7)</f>
        <v>18879622.338331714</v>
      </c>
      <c r="I8" s="82">
        <f>SUM(I6:I7)</f>
        <v>69302931.927816942</v>
      </c>
      <c r="J8" s="82">
        <f>SUM(J6:J7)</f>
        <v>87868934.329667091</v>
      </c>
      <c r="K8" s="82">
        <f>SUM(K6:K7)</f>
        <v>104988048.40237525</v>
      </c>
      <c r="L8" s="82">
        <f>SUM(L6:L7)</f>
        <v>116817388.32728854</v>
      </c>
    </row>
    <row r="9" spans="2:12">
      <c r="B9" s="1" t="s">
        <v>158</v>
      </c>
      <c r="C9" s="3"/>
      <c r="D9" s="3"/>
      <c r="E9" s="3"/>
      <c r="H9" s="71"/>
      <c r="I9" s="71"/>
      <c r="J9" s="71"/>
      <c r="K9" s="71"/>
      <c r="L9" s="71"/>
    </row>
    <row r="10" spans="2:12">
      <c r="B10" s="92" t="s">
        <v>159</v>
      </c>
      <c r="C10" s="93"/>
      <c r="D10" s="93"/>
      <c r="E10" s="93"/>
      <c r="F10" s="93"/>
      <c r="G10" s="93"/>
      <c r="H10" s="215"/>
      <c r="I10" s="215"/>
      <c r="J10" s="215"/>
      <c r="K10" s="215"/>
      <c r="L10" s="216"/>
    </row>
    <row r="11" spans="2:12">
      <c r="B11" s="94" t="s">
        <v>160</v>
      </c>
      <c r="C11" s="3"/>
      <c r="D11" s="3"/>
      <c r="E11" s="3"/>
      <c r="H11" s="71"/>
      <c r="I11" s="71"/>
      <c r="J11" s="71"/>
      <c r="K11" s="71"/>
      <c r="L11" s="217"/>
    </row>
    <row r="12" spans="2:12">
      <c r="B12" s="95" t="s">
        <v>161</v>
      </c>
      <c r="C12" s="26"/>
      <c r="D12" s="26"/>
      <c r="E12" s="26"/>
      <c r="F12" s="26"/>
      <c r="G12" s="26"/>
      <c r="H12" s="88"/>
      <c r="I12" s="88"/>
      <c r="J12" s="88"/>
      <c r="K12" s="88"/>
      <c r="L12" s="218"/>
    </row>
    <row r="13" spans="2:12">
      <c r="B13" s="1" t="s">
        <v>231</v>
      </c>
      <c r="C13" s="3"/>
      <c r="D13" s="3"/>
      <c r="E13" s="3"/>
      <c r="H13" s="71">
        <f>-PPE!H11</f>
        <v>6183601.3788842261</v>
      </c>
      <c r="I13" s="71">
        <f>-PPE!I11</f>
        <v>8154484.7175659947</v>
      </c>
      <c r="J13" s="71">
        <f>-PPE!J11</f>
        <v>10753542.625837224</v>
      </c>
      <c r="K13" s="71">
        <f>-PPE!K11</f>
        <v>14180991.566100419</v>
      </c>
      <c r="L13" s="71">
        <f>-PPE!L11</f>
        <v>18700862.478066795</v>
      </c>
    </row>
    <row r="14" spans="2:12" s="6" customFormat="1">
      <c r="B14" s="14" t="s">
        <v>232</v>
      </c>
      <c r="C14" s="16"/>
      <c r="D14" s="16"/>
      <c r="E14" s="16"/>
      <c r="F14" s="16"/>
      <c r="G14" s="16"/>
      <c r="H14" s="82">
        <f>SUM(H8,H13)</f>
        <v>25063223.71721594</v>
      </c>
      <c r="I14" s="82">
        <f>SUM(I8,I13)</f>
        <v>77457416.645382941</v>
      </c>
      <c r="J14" s="82">
        <f>SUM(J8,J13)</f>
        <v>98622476.955504313</v>
      </c>
      <c r="K14" s="82">
        <f>SUM(K8,K13)</f>
        <v>119169039.96847567</v>
      </c>
      <c r="L14" s="82">
        <f>SUM(L8,L13)</f>
        <v>135518250.80535534</v>
      </c>
    </row>
    <row r="15" spans="2:12">
      <c r="B15" s="1" t="s">
        <v>233</v>
      </c>
      <c r="H15" s="64">
        <f>-('Financial Position'!H18-'Financial Position'!G18)</f>
        <v>-16658458.585781842</v>
      </c>
      <c r="I15" s="64">
        <f>-('Financial Position'!I18-'Financial Position'!H18)</f>
        <v>-48991934.355414674</v>
      </c>
      <c r="J15" s="64">
        <f>-('Financial Position'!J18-'Financial Position'!I18)</f>
        <v>-49792577.324473515</v>
      </c>
      <c r="K15" s="64">
        <f>-('Financial Position'!K18-'Financial Position'!J18)</f>
        <v>-73892456.877813727</v>
      </c>
      <c r="L15" s="64">
        <f>-('Financial Position'!L18-'Financial Position'!K18)</f>
        <v>-110842882.4457472</v>
      </c>
    </row>
    <row r="16" spans="2:12">
      <c r="B16" s="1" t="s">
        <v>234</v>
      </c>
      <c r="H16" s="64">
        <f>-('Financial Position'!H17-'Financial Position'!G17)</f>
        <v>-12323699.316711176</v>
      </c>
      <c r="I16" s="64">
        <f>-('Financial Position'!I17-'Financial Position'!H17)</f>
        <v>-19565837.289846186</v>
      </c>
      <c r="J16" s="64">
        <f>-('Financial Position'!J17-'Financial Position'!I17)</f>
        <v>-31397607.675529219</v>
      </c>
      <c r="K16" s="64">
        <f>-('Financial Position'!K17-'Financial Position'!J17)</f>
        <v>-50269227.829465717</v>
      </c>
      <c r="L16" s="64">
        <f>-('Financial Position'!L17-'Financial Position'!K17)</f>
        <v>-80285473.266397715</v>
      </c>
    </row>
    <row r="17" spans="2:13">
      <c r="B17" s="1" t="s">
        <v>235</v>
      </c>
      <c r="H17" s="64">
        <f>'Financial Position'!H43-'Financial Position'!G43</f>
        <v>7939875.5748425089</v>
      </c>
      <c r="I17" s="64">
        <f>'Financial Position'!I43-'Financial Position'!H43</f>
        <v>12174298.75812652</v>
      </c>
      <c r="J17" s="64">
        <f>'Financial Position'!J43-'Financial Position'!I43</f>
        <v>19536289.220329281</v>
      </c>
      <c r="K17" s="64">
        <f>'Financial Position'!K43-'Financial Position'!J43</f>
        <v>31278630.64944534</v>
      </c>
      <c r="L17" s="64">
        <f>'Financial Position'!L43-'Financial Position'!K43</f>
        <v>49955405.587980807</v>
      </c>
    </row>
    <row r="18" spans="2:13" s="127" customFormat="1">
      <c r="B18" s="123" t="s">
        <v>236</v>
      </c>
      <c r="C18" s="124"/>
      <c r="D18" s="125"/>
      <c r="E18" s="125"/>
      <c r="F18" s="125"/>
      <c r="G18" s="126"/>
      <c r="H18" s="219">
        <f>SUM(H15:H17)</f>
        <v>-21042282.32765051</v>
      </c>
      <c r="I18" s="219">
        <f>SUM(I15:I17)</f>
        <v>-56383472.887134336</v>
      </c>
      <c r="J18" s="219">
        <f>SUM(J15:J17)</f>
        <v>-61653895.779673457</v>
      </c>
      <c r="K18" s="219">
        <f>SUM(K15:K17)</f>
        <v>-92883054.057834104</v>
      </c>
      <c r="L18" s="219">
        <f>SUM(L15:L17)</f>
        <v>-141172950.1241641</v>
      </c>
    </row>
    <row r="19" spans="2:13" s="127" customFormat="1">
      <c r="B19" s="128" t="s">
        <v>237</v>
      </c>
      <c r="C19" s="129"/>
      <c r="D19" s="130"/>
      <c r="E19" s="130"/>
      <c r="F19" s="130"/>
      <c r="G19" s="131"/>
      <c r="H19" s="220">
        <f>-PPE!H7</f>
        <v>-24877236.672372609</v>
      </c>
      <c r="I19" s="220">
        <f>-PPE!I7</f>
        <v>-32806294.233788267</v>
      </c>
      <c r="J19" s="220">
        <f>-PPE!J7</f>
        <v>-43262559.886690341</v>
      </c>
      <c r="K19" s="220">
        <f>-PPE!K7</f>
        <v>-57051524.156050406</v>
      </c>
      <c r="L19" s="220">
        <f>-PPE!L7</f>
        <v>-75235409.486939788</v>
      </c>
    </row>
    <row r="20" spans="2:13" s="127" customFormat="1">
      <c r="B20" s="128" t="s">
        <v>238</v>
      </c>
      <c r="C20" s="129"/>
      <c r="D20" s="130"/>
      <c r="E20" s="130"/>
      <c r="F20" s="130"/>
      <c r="G20" s="131"/>
      <c r="H20" s="220">
        <f>-('Financial Position'!H12-'Financial Position'!G12)-('Financial Position'!H13-'Financial Position'!G13)-('Financial Position'!H16-'Financial Position'!G16)-('Financial Position'!H19-'Financial Position'!G19)-('Financial Position'!H20-'Financial Position'!G20)-('Financial Position'!H22-'Financial Position'!G22)-('Financial Position'!H23-'Financial Position'!G23)</f>
        <v>-8946720.107606018</v>
      </c>
      <c r="I20" s="220">
        <f>-('Financial Position'!I12-'Financial Position'!H12)-('Financial Position'!I13-'Financial Position'!H13)-('Financial Position'!I16-'Financial Position'!H16)-('Financial Position'!I19-'Financial Position'!H19)-('Financial Position'!I20-'Financial Position'!H20)-('Financial Position'!I22-'Financial Position'!H22)-('Financial Position'!I23-'Financial Position'!H23)</f>
        <v>-18529567.406263612</v>
      </c>
      <c r="J20" s="220">
        <f>-('Financial Position'!J12-'Financial Position'!I12)-('Financial Position'!J13-'Financial Position'!I13)-('Financial Position'!J16-'Financial Position'!I16)-('Financial Position'!J19-'Financial Position'!I19)-('Financial Position'!J20-'Financial Position'!I20)-('Financial Position'!J22-'Financial Position'!I22)-('Financial Position'!J23-'Financial Position'!I23)</f>
        <v>-18832383.942469373</v>
      </c>
      <c r="K20" s="220">
        <f>-('Financial Position'!K12-'Financial Position'!J12)-('Financial Position'!K13-'Financial Position'!J13)-('Financial Position'!K16-'Financial Position'!J16)-('Financial Position'!K19-'Financial Position'!J19)-('Financial Position'!K20-'Financial Position'!J20)-('Financial Position'!K22-'Financial Position'!J22)-('Financial Position'!K23-'Financial Position'!J23)</f>
        <v>-27947360.694088422</v>
      </c>
      <c r="L20" s="220">
        <f>-('Financial Position'!L12-'Financial Position'!K12)-('Financial Position'!L13-'Financial Position'!K13)-('Financial Position'!L16-'Financial Position'!K16)-('Financial Position'!L19-'Financial Position'!K19)-('Financial Position'!L20-'Financial Position'!K20)-('Financial Position'!L22-'Financial Position'!K22)-('Financial Position'!L23-'Financial Position'!K23)</f>
        <v>-41922628.465394095</v>
      </c>
    </row>
    <row r="21" spans="2:13" s="127" customFormat="1">
      <c r="B21" s="132" t="s">
        <v>239</v>
      </c>
      <c r="C21" s="129"/>
      <c r="D21" s="130"/>
      <c r="E21" s="130"/>
      <c r="F21" s="130"/>
      <c r="G21" s="131"/>
      <c r="H21" s="220">
        <f>('Financial Position'!H40-'Financial Position'!G40)+('Financial Position'!H45-'Financial Position'!G45)+('Financial Position'!H46-'Financial Position'!G46)</f>
        <v>25168918.242338143</v>
      </c>
      <c r="I21" s="220">
        <f>('Financial Position'!I40-'Financial Position'!H40)+('Financial Position'!I45-'Financial Position'!H45)+('Financial Position'!I46-'Financial Position'!H46)</f>
        <v>74405454.628313124</v>
      </c>
      <c r="J21" s="220">
        <f>('Financial Position'!J40-'Financial Position'!I40)+('Financial Position'!J45-'Financial Position'!I45)+('Financial Position'!J46-'Financial Position'!I46)</f>
        <v>75621414.048809111</v>
      </c>
      <c r="K21" s="220">
        <f>('Financial Position'!K40-'Financial Position'!J40)+('Financial Position'!K45-'Financial Position'!J45)+('Financial Position'!K46-'Financial Position'!J46)</f>
        <v>112222591.7374725</v>
      </c>
      <c r="L21" s="220">
        <f>('Financial Position'!L40-'Financial Position'!K40)+('Financial Position'!L45-'Financial Position'!K45)+('Financial Position'!L46-'Financial Position'!K46)</f>
        <v>168340261.90633523</v>
      </c>
    </row>
    <row r="22" spans="2:13" s="127" customFormat="1" ht="12.75" thickBot="1">
      <c r="B22" s="133" t="s">
        <v>240</v>
      </c>
      <c r="C22" s="134"/>
      <c r="D22" s="135"/>
      <c r="E22" s="135"/>
      <c r="F22" s="136"/>
      <c r="G22" s="137"/>
      <c r="H22" s="221">
        <f>SUM(H14,H18:H21)</f>
        <v>-4634097.1480750516</v>
      </c>
      <c r="I22" s="221">
        <f>SUM(I14,I18:I21)</f>
        <v>44143536.74650985</v>
      </c>
      <c r="J22" s="221">
        <f>SUM(J14,J18:J21)</f>
        <v>50495051.395480253</v>
      </c>
      <c r="K22" s="221">
        <f>SUM(K14,K18:K21)</f>
        <v>53509692.797975242</v>
      </c>
      <c r="L22" s="221">
        <f>SUM(L14,L18:L21)</f>
        <v>45527524.635192588</v>
      </c>
    </row>
    <row r="23" spans="2:13">
      <c r="H23" s="87"/>
      <c r="I23" s="87"/>
      <c r="J23" s="87"/>
      <c r="K23" s="87"/>
      <c r="L23" s="87"/>
    </row>
    <row r="24" spans="2:13" s="127" customFormat="1">
      <c r="B24" s="132" t="s">
        <v>241</v>
      </c>
      <c r="C24" s="138"/>
      <c r="D24" s="130"/>
      <c r="E24" s="130"/>
      <c r="F24" s="130"/>
      <c r="G24" s="131"/>
      <c r="H24" s="220">
        <f>Financing!H18</f>
        <v>-3017359.1903570308</v>
      </c>
      <c r="I24" s="220">
        <f>Financing!I18</f>
        <v>-2828163.5740784337</v>
      </c>
      <c r="J24" s="220">
        <f>Financing!J18</f>
        <v>-2828163.5740784337</v>
      </c>
      <c r="K24" s="220">
        <f>Financing!K18</f>
        <v>-2828163.5740784337</v>
      </c>
      <c r="L24" s="220">
        <f>Financing!L18</f>
        <v>-2828163.5740784337</v>
      </c>
    </row>
    <row r="25" spans="2:13" s="127" customFormat="1">
      <c r="B25" s="132" t="s">
        <v>242</v>
      </c>
      <c r="C25" s="138"/>
      <c r="D25" s="130"/>
      <c r="E25" s="130"/>
      <c r="F25" s="130"/>
      <c r="G25" s="131"/>
      <c r="H25" s="220">
        <f>'Financial Position'!H38+'Financial Position'!H48-'Financial Position'!G38-'Financial Position'!G48</f>
        <v>2949214.1628685929</v>
      </c>
      <c r="I25" s="220">
        <f>'Financial Position'!I38+'Financial Position'!I48-'Financial Position'!H38-'Financial Position'!H48</f>
        <v>0</v>
      </c>
      <c r="J25" s="220">
        <f>'Financial Position'!J38+'Financial Position'!J48-'Financial Position'!I38-'Financial Position'!I48</f>
        <v>0</v>
      </c>
      <c r="K25" s="220">
        <f>'Financial Position'!K38+'Financial Position'!K48-'Financial Position'!J38-'Financial Position'!J48</f>
        <v>0</v>
      </c>
      <c r="L25" s="220">
        <f>'Financial Position'!L38+'Financial Position'!L48-'Financial Position'!K38-'Financial Position'!K48</f>
        <v>0</v>
      </c>
    </row>
    <row r="26" spans="2:13" s="127" customFormat="1">
      <c r="B26" s="132" t="s">
        <v>243</v>
      </c>
      <c r="C26" s="138"/>
      <c r="D26" s="130"/>
      <c r="E26" s="130"/>
      <c r="F26" s="130"/>
      <c r="G26" s="131"/>
      <c r="H26" s="220">
        <f>'Financial Position'!H36-'Financial Position'!G36-'Income Statement'!H35</f>
        <v>55226.146088462323</v>
      </c>
      <c r="I26" s="220">
        <f>'Financial Position'!I36-'Financial Position'!H36-'Income Statement'!I35</f>
        <v>-11439213.885192402</v>
      </c>
      <c r="J26" s="220">
        <f>'Financial Position'!J36-'Financial Position'!I36-'Income Statement'!J35</f>
        <v>-15994427.98384057</v>
      </c>
      <c r="K26" s="220">
        <f>'Financial Position'!K36-'Financial Position'!J36-'Income Statement'!K35</f>
        <v>-19589441.939109266</v>
      </c>
      <c r="L26" s="220">
        <f>'Financial Position'!L36-'Financial Position'!K36-'Income Statement'!L35</f>
        <v>-22073603.323341042</v>
      </c>
    </row>
    <row r="27" spans="2:13" s="127" customFormat="1">
      <c r="B27" s="132" t="s">
        <v>244</v>
      </c>
      <c r="C27" s="138"/>
      <c r="D27" s="130"/>
      <c r="E27" s="130"/>
      <c r="F27" s="130"/>
      <c r="G27" s="131"/>
      <c r="H27" s="220">
        <f>'Income Statement'!H22-'DCF Valuation (2)'!H7</f>
        <v>905207.7571071079</v>
      </c>
      <c r="I27" s="220">
        <f>'Income Statement'!I22-'DCF Valuation (2)'!I7</f>
        <v>848449.07222352922</v>
      </c>
      <c r="J27" s="220">
        <f>'Income Statement'!J22-'DCF Valuation (2)'!J7</f>
        <v>848449.07222353667</v>
      </c>
      <c r="K27" s="220">
        <f>'Income Statement'!K22-'DCF Valuation (2)'!K7</f>
        <v>848449.07222353667</v>
      </c>
      <c r="L27" s="220">
        <f>'Income Statement'!L22-'DCF Valuation (2)'!L7</f>
        <v>848449.07222353667</v>
      </c>
    </row>
    <row r="28" spans="2:13" s="127" customFormat="1" ht="12.75" thickBot="1">
      <c r="B28" s="133" t="s">
        <v>245</v>
      </c>
      <c r="C28" s="139"/>
      <c r="D28" s="135"/>
      <c r="E28" s="135"/>
      <c r="F28" s="135"/>
      <c r="G28" s="137"/>
      <c r="H28" s="221">
        <f>SUM(H22:H27)</f>
        <v>-3741808.2723679198</v>
      </c>
      <c r="I28" s="221">
        <f>SUM(I22:I27)</f>
        <v>30724608.359462544</v>
      </c>
      <c r="J28" s="221">
        <f>SUM(J22:J27)</f>
        <v>32520908.909784786</v>
      </c>
      <c r="K28" s="221">
        <f>SUM(K22:K27)</f>
        <v>31940536.35701108</v>
      </c>
      <c r="L28" s="221">
        <f>SUM(L22:L27)</f>
        <v>21474206.80999665</v>
      </c>
    </row>
    <row r="29" spans="2:13">
      <c r="F29" s="1"/>
      <c r="G29" s="1"/>
      <c r="H29" s="87"/>
      <c r="I29" s="87"/>
      <c r="J29" s="87"/>
      <c r="K29" s="87"/>
      <c r="L29" s="87"/>
    </row>
    <row r="30" spans="2:13">
      <c r="B30" s="132" t="s">
        <v>246</v>
      </c>
      <c r="C30" s="132"/>
      <c r="D30" s="132"/>
      <c r="E30" s="132"/>
      <c r="F30" s="132"/>
      <c r="G30" s="132"/>
      <c r="H30" s="222">
        <f>'Financial Position'!G25</f>
        <v>1544502</v>
      </c>
      <c r="I30" s="222">
        <f>H32</f>
        <v>-2197306.2723679198</v>
      </c>
      <c r="J30" s="222">
        <f>I32</f>
        <v>28527302.087094624</v>
      </c>
      <c r="K30" s="222">
        <f>J32</f>
        <v>61048210.996879414</v>
      </c>
      <c r="L30" s="222">
        <f>K32</f>
        <v>92988747.353890494</v>
      </c>
    </row>
    <row r="31" spans="2:13">
      <c r="B31" s="132" t="s">
        <v>245</v>
      </c>
      <c r="C31" s="132"/>
      <c r="D31" s="132"/>
      <c r="E31" s="132"/>
      <c r="F31" s="132"/>
      <c r="G31" s="140"/>
      <c r="H31" s="223">
        <f>H28</f>
        <v>-3741808.2723679198</v>
      </c>
      <c r="I31" s="223">
        <f>I28</f>
        <v>30724608.359462544</v>
      </c>
      <c r="J31" s="223">
        <f>J28</f>
        <v>32520908.909784786</v>
      </c>
      <c r="K31" s="223">
        <f>K28</f>
        <v>31940536.35701108</v>
      </c>
      <c r="L31" s="223">
        <f>L28</f>
        <v>21474206.80999665</v>
      </c>
      <c r="M31" s="140"/>
    </row>
    <row r="32" spans="2:13" s="6" customFormat="1" ht="12.75" thickBot="1">
      <c r="B32" s="122" t="s">
        <v>247</v>
      </c>
      <c r="C32" s="122"/>
      <c r="D32" s="122"/>
      <c r="E32" s="122"/>
      <c r="F32" s="122"/>
      <c r="G32" s="141"/>
      <c r="H32" s="224">
        <f>SUM(H30:H31)</f>
        <v>-2197306.2723679198</v>
      </c>
      <c r="I32" s="224">
        <f>SUM(I30:I31)</f>
        <v>28527302.087094624</v>
      </c>
      <c r="J32" s="224">
        <f>SUM(J30:J31)</f>
        <v>61048210.996879414</v>
      </c>
      <c r="K32" s="224">
        <f>SUM(K30:K31)</f>
        <v>92988747.353890494</v>
      </c>
      <c r="L32" s="224">
        <f>SUM(L30:L31)</f>
        <v>114462954.16388714</v>
      </c>
      <c r="M32" s="142"/>
    </row>
    <row r="33" spans="2:13">
      <c r="G33" s="143"/>
      <c r="H33" s="140"/>
      <c r="I33" s="140"/>
      <c r="J33" s="140"/>
      <c r="K33" s="140"/>
      <c r="L33" s="140"/>
      <c r="M33" s="140"/>
    </row>
    <row r="34" spans="2:13">
      <c r="F34" s="1"/>
      <c r="G34" s="1"/>
    </row>
    <row r="35" spans="2:13" ht="12.75" thickBot="1"/>
    <row r="36" spans="2:13" ht="13.5" thickTop="1" thickBot="1">
      <c r="B36" s="164" t="s">
        <v>248</v>
      </c>
      <c r="C36" s="176">
        <f>Drivers!C12</f>
        <v>0.04</v>
      </c>
      <c r="D36" s="163" t="s">
        <v>249</v>
      </c>
      <c r="E36" s="170"/>
      <c r="F36" s="170"/>
      <c r="G36" s="170"/>
      <c r="H36" s="170"/>
      <c r="I36" s="170"/>
      <c r="J36" s="170"/>
      <c r="K36" s="170"/>
      <c r="L36" s="170"/>
    </row>
    <row r="37" spans="2:13" ht="12.75" thickTop="1">
      <c r="B37" s="164"/>
      <c r="C37" s="175"/>
      <c r="D37" s="163"/>
      <c r="E37" s="170"/>
      <c r="F37" s="170"/>
      <c r="G37" s="170"/>
      <c r="H37" s="170">
        <v>1</v>
      </c>
      <c r="I37" s="170">
        <v>2</v>
      </c>
      <c r="J37" s="170">
        <v>3</v>
      </c>
      <c r="K37" s="170">
        <v>4</v>
      </c>
      <c r="L37" s="170">
        <v>5</v>
      </c>
    </row>
    <row r="38" spans="2:13">
      <c r="B38" s="11"/>
      <c r="C38" s="39" t="s">
        <v>62</v>
      </c>
      <c r="D38" s="39" t="s">
        <v>63</v>
      </c>
      <c r="E38" s="39" t="s">
        <v>64</v>
      </c>
      <c r="F38" s="40" t="s">
        <v>65</v>
      </c>
      <c r="G38" s="40" t="s">
        <v>66</v>
      </c>
      <c r="H38" s="39" t="s">
        <v>67</v>
      </c>
      <c r="I38" s="39" t="s">
        <v>68</v>
      </c>
      <c r="J38" s="39" t="s">
        <v>69</v>
      </c>
      <c r="K38" s="39" t="s">
        <v>70</v>
      </c>
      <c r="L38" s="39" t="s">
        <v>71</v>
      </c>
    </row>
    <row r="39" spans="2:13" ht="12.75" thickBot="1">
      <c r="B39" s="55"/>
      <c r="C39" s="270" t="s">
        <v>72</v>
      </c>
      <c r="D39" s="270"/>
      <c r="E39" s="270"/>
      <c r="F39" s="270"/>
      <c r="G39" s="270"/>
      <c r="H39" s="270"/>
      <c r="I39" s="270"/>
      <c r="J39" s="270"/>
      <c r="K39" s="270"/>
      <c r="L39" s="270"/>
    </row>
    <row r="40" spans="2:13">
      <c r="B40" s="163" t="s">
        <v>240</v>
      </c>
      <c r="C40" s="166"/>
      <c r="D40" s="166"/>
      <c r="E40" s="166"/>
      <c r="F40" s="166"/>
      <c r="G40" s="166"/>
      <c r="H40" s="166">
        <f>'DCF Valuation (2)'!H22</f>
        <v>-4634097.1480750516</v>
      </c>
      <c r="I40" s="166">
        <f>'DCF Valuation (2)'!I22</f>
        <v>44143536.74650985</v>
      </c>
      <c r="J40" s="166">
        <f>'DCF Valuation (2)'!J22</f>
        <v>50495051.395480253</v>
      </c>
      <c r="K40" s="166">
        <f>'DCF Valuation (2)'!K22</f>
        <v>53509692.797975242</v>
      </c>
      <c r="L40" s="166">
        <f>'DCF Valuation (2)'!L22</f>
        <v>45527524.635192588</v>
      </c>
    </row>
    <row r="41" spans="2:13">
      <c r="B41" s="163" t="s">
        <v>250</v>
      </c>
      <c r="C41" s="166"/>
      <c r="D41" s="166"/>
      <c r="E41" s="166"/>
      <c r="F41" s="166"/>
      <c r="G41" s="166"/>
      <c r="H41" s="166"/>
      <c r="I41" s="166"/>
      <c r="J41" s="166"/>
      <c r="K41" s="166"/>
      <c r="L41" s="166">
        <f>(L40*(1+C36))/(L43-C36)</f>
        <v>316511119.09990078</v>
      </c>
    </row>
    <row r="42" spans="2:13">
      <c r="B42" s="170"/>
      <c r="C42" s="166"/>
      <c r="D42" s="166"/>
      <c r="E42" s="166"/>
      <c r="F42" s="166"/>
      <c r="G42" s="166"/>
      <c r="H42" s="166"/>
      <c r="I42" s="166"/>
      <c r="J42" s="166"/>
      <c r="K42" s="166"/>
      <c r="L42" s="163"/>
    </row>
    <row r="43" spans="2:13">
      <c r="B43" s="163" t="s">
        <v>251</v>
      </c>
      <c r="C43" s="166"/>
      <c r="D43" s="166"/>
      <c r="E43" s="166"/>
      <c r="F43" s="166"/>
      <c r="G43" s="166"/>
      <c r="H43" s="171">
        <f>WACC!H24</f>
        <v>0.15560440417663157</v>
      </c>
      <c r="I43" s="171">
        <f>WACC!I24</f>
        <v>0.19014796939437945</v>
      </c>
      <c r="J43" s="171">
        <f>WACC!J24</f>
        <v>0.19161233800452038</v>
      </c>
      <c r="K43" s="171">
        <f>WACC!K24</f>
        <v>0.19128542261727852</v>
      </c>
      <c r="L43" s="171">
        <f>WACC!L24</f>
        <v>0.18959545735786801</v>
      </c>
    </row>
    <row r="44" spans="2:13">
      <c r="B44" s="169" t="s">
        <v>252</v>
      </c>
      <c r="C44" s="178"/>
      <c r="D44" s="178"/>
      <c r="E44" s="178"/>
      <c r="F44" s="178"/>
      <c r="G44" s="178"/>
      <c r="H44" s="172">
        <f>H40/(1+H43)^H37</f>
        <v>-4010106.8595155166</v>
      </c>
      <c r="I44" s="172">
        <f>I40/(1+I43)^I37</f>
        <v>31164861.820013404</v>
      </c>
      <c r="J44" s="172">
        <f>J40/(1+J43)^J37</f>
        <v>29843093.855705015</v>
      </c>
      <c r="K44" s="172">
        <f>K40/(1+K43)^K37</f>
        <v>26568629.200216331</v>
      </c>
      <c r="L44" s="172">
        <f>L40/(1+L43)^L37</f>
        <v>19110742.136128701</v>
      </c>
    </row>
    <row r="45" spans="2:13">
      <c r="B45" s="163" t="s">
        <v>253</v>
      </c>
      <c r="C45" s="166"/>
      <c r="D45" s="166"/>
      <c r="E45" s="166"/>
      <c r="F45" s="166"/>
      <c r="G45" s="166"/>
      <c r="H45" s="171"/>
      <c r="I45" s="171"/>
      <c r="J45" s="171"/>
      <c r="K45" s="171"/>
      <c r="L45" s="177">
        <f>L41/((1+L43)^L37)</f>
        <v>132859460.92619441</v>
      </c>
    </row>
    <row r="46" spans="2:13">
      <c r="G46" s="1"/>
    </row>
    <row r="47" spans="2:13">
      <c r="B47" s="271" t="s">
        <v>254</v>
      </c>
      <c r="C47" s="271"/>
      <c r="D47" s="271"/>
      <c r="E47" s="271"/>
      <c r="F47" s="271"/>
      <c r="G47" s="170"/>
    </row>
    <row r="48" spans="2:13">
      <c r="B48" s="163" t="s">
        <v>255</v>
      </c>
      <c r="C48" s="170"/>
      <c r="D48" s="170"/>
      <c r="E48" s="166"/>
      <c r="F48" s="166">
        <f>SUM(H44:L44)</f>
        <v>102677220.15254793</v>
      </c>
      <c r="G48" s="170"/>
    </row>
    <row r="49" spans="2:7">
      <c r="B49" s="163" t="s">
        <v>256</v>
      </c>
      <c r="C49" s="170"/>
      <c r="D49" s="170"/>
      <c r="E49" s="166"/>
      <c r="F49" s="166">
        <f>L41</f>
        <v>316511119.09990078</v>
      </c>
      <c r="G49" s="170"/>
    </row>
    <row r="50" spans="2:7">
      <c r="B50" s="163" t="s">
        <v>257</v>
      </c>
      <c r="C50" s="170"/>
      <c r="D50" s="170"/>
      <c r="E50" s="166"/>
      <c r="F50" s="166">
        <f>L45</f>
        <v>132859460.92619441</v>
      </c>
      <c r="G50" s="170"/>
    </row>
    <row r="51" spans="2:7">
      <c r="B51" s="165" t="s">
        <v>258</v>
      </c>
      <c r="C51" s="165"/>
      <c r="D51" s="165"/>
      <c r="E51" s="167"/>
      <c r="F51" s="167">
        <f>SUM(F48,F50)</f>
        <v>235536681.07874233</v>
      </c>
      <c r="G51" s="170"/>
    </row>
    <row r="52" spans="2:7">
      <c r="B52" s="168" t="s">
        <v>259</v>
      </c>
      <c r="C52" s="170"/>
      <c r="D52" s="170"/>
      <c r="E52" s="166"/>
      <c r="F52" s="166">
        <f>'Financial Position'!G25</f>
        <v>1544502</v>
      </c>
      <c r="G52" s="166"/>
    </row>
    <row r="53" spans="2:7">
      <c r="B53" s="168" t="s">
        <v>260</v>
      </c>
      <c r="C53" s="170"/>
      <c r="D53" s="170"/>
      <c r="E53" s="166"/>
      <c r="F53" s="166">
        <f>-'Financial Position'!G38</f>
        <v>-15348901</v>
      </c>
      <c r="G53" s="170"/>
    </row>
    <row r="54" spans="2:7">
      <c r="B54" s="165" t="s">
        <v>261</v>
      </c>
      <c r="C54" s="165"/>
      <c r="D54" s="165"/>
      <c r="E54" s="167"/>
      <c r="F54" s="167">
        <f>SUM(F51:F53)</f>
        <v>221732282.07874233</v>
      </c>
      <c r="G54" s="170"/>
    </row>
    <row r="55" spans="2:7">
      <c r="B55" s="163" t="s">
        <v>262</v>
      </c>
      <c r="C55" s="170"/>
      <c r="D55" s="170"/>
      <c r="E55" s="170"/>
      <c r="F55" s="166">
        <f>'Financial Position'!L32</f>
        <v>15000000</v>
      </c>
      <c r="G55" s="170"/>
    </row>
    <row r="56" spans="2:7">
      <c r="B56" s="162" t="s">
        <v>263</v>
      </c>
      <c r="C56" s="162"/>
      <c r="D56" s="162"/>
      <c r="E56" s="162"/>
      <c r="F56" s="162">
        <f>F54/F55</f>
        <v>14.782152138582822</v>
      </c>
      <c r="G56" s="170"/>
    </row>
  </sheetData>
  <mergeCells count="3">
    <mergeCell ref="C4:L4"/>
    <mergeCell ref="C39:L39"/>
    <mergeCell ref="B47:F47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488F-F92E-4E8A-89B6-9C8E851BF992}">
  <dimension ref="B1:M65"/>
  <sheetViews>
    <sheetView zoomScaleNormal="100" workbookViewId="0">
      <selection activeCell="C4" sqref="C4"/>
    </sheetView>
  </sheetViews>
  <sheetFormatPr defaultRowHeight="12"/>
  <cols>
    <col min="1" max="1" width="2" style="1" customWidth="1"/>
    <col min="2" max="2" width="45.85546875" style="1" customWidth="1"/>
    <col min="3" max="5" width="9.140625" style="1" customWidth="1"/>
    <col min="6" max="6" width="13.5703125" style="3" bestFit="1" customWidth="1"/>
    <col min="7" max="7" width="9.140625" style="3" customWidth="1"/>
    <col min="8" max="12" width="15.7109375" style="1" customWidth="1"/>
    <col min="13" max="13" width="9.7109375" style="1" customWidth="1"/>
    <col min="14" max="16384" width="9.140625" style="1"/>
  </cols>
  <sheetData>
    <row r="1" spans="2:12" s="173" customFormat="1" ht="15.75">
      <c r="B1" s="2" t="s">
        <v>227</v>
      </c>
      <c r="F1" s="174"/>
      <c r="G1" s="174"/>
    </row>
    <row r="2" spans="2:12">
      <c r="C2" s="4"/>
      <c r="D2" s="4"/>
      <c r="E2" s="4"/>
      <c r="H2" s="20"/>
      <c r="I2" s="20"/>
    </row>
    <row r="3" spans="2:12" ht="12.75" thickBot="1">
      <c r="B3" s="6" t="s">
        <v>36</v>
      </c>
      <c r="C3" s="257">
        <f>AVERAGE(WACC!H24:L24)</f>
        <v>0.18364911831013558</v>
      </c>
      <c r="D3" s="4"/>
      <c r="E3" s="4"/>
      <c r="H3" s="20"/>
      <c r="I3" s="20"/>
    </row>
    <row r="4" spans="2:12" ht="13.5" thickTop="1" thickBot="1">
      <c r="B4" s="240" t="s">
        <v>264</v>
      </c>
      <c r="C4" s="242">
        <f>Drivers!C12</f>
        <v>0.04</v>
      </c>
      <c r="D4" s="4"/>
      <c r="E4" s="4"/>
      <c r="H4" s="20"/>
      <c r="I4" s="20"/>
    </row>
    <row r="5" spans="2:12" ht="12.75" thickTop="1">
      <c r="C5" s="4"/>
      <c r="D5" s="4"/>
      <c r="E5" s="4"/>
      <c r="H5" s="20"/>
      <c r="I5" s="20"/>
    </row>
    <row r="6" spans="2:12">
      <c r="B6" s="11"/>
      <c r="C6" s="39" t="s">
        <v>62</v>
      </c>
      <c r="D6" s="39" t="s">
        <v>63</v>
      </c>
      <c r="E6" s="39" t="s">
        <v>64</v>
      </c>
      <c r="F6" s="40" t="s">
        <v>65</v>
      </c>
      <c r="G6" s="40" t="s">
        <v>66</v>
      </c>
      <c r="H6" s="39" t="s">
        <v>67</v>
      </c>
      <c r="I6" s="39" t="s">
        <v>68</v>
      </c>
      <c r="J6" s="39" t="s">
        <v>69</v>
      </c>
      <c r="K6" s="39" t="s">
        <v>70</v>
      </c>
      <c r="L6" s="39" t="s">
        <v>71</v>
      </c>
    </row>
    <row r="7" spans="2:12" ht="12.75" thickBot="1">
      <c r="B7" s="55"/>
      <c r="C7" s="270" t="s">
        <v>72</v>
      </c>
      <c r="D7" s="270"/>
      <c r="E7" s="270"/>
      <c r="F7" s="270"/>
      <c r="G7" s="270"/>
      <c r="H7" s="270"/>
      <c r="I7" s="270"/>
      <c r="J7" s="270"/>
      <c r="K7" s="270"/>
      <c r="L7" s="270"/>
    </row>
    <row r="8" spans="2:12">
      <c r="B8" s="1" t="s">
        <v>157</v>
      </c>
    </row>
    <row r="9" spans="2:12">
      <c r="B9" s="1" t="s">
        <v>228</v>
      </c>
      <c r="C9" s="3"/>
      <c r="D9" s="3"/>
      <c r="E9" s="3"/>
      <c r="H9" s="71">
        <f>'Income Statement'!H17</f>
        <v>26970889.054759588</v>
      </c>
      <c r="I9" s="71">
        <f>'Income Statement'!I17</f>
        <v>99004188.468309909</v>
      </c>
      <c r="J9" s="71">
        <f>'Income Statement'!J17</f>
        <v>125527049.04238157</v>
      </c>
      <c r="K9" s="71">
        <f>'Income Statement'!K17</f>
        <v>149982926.2891075</v>
      </c>
      <c r="L9" s="71">
        <f>'Income Statement'!L17</f>
        <v>166881983.32469791</v>
      </c>
    </row>
    <row r="10" spans="2:12">
      <c r="B10" s="1" t="s">
        <v>229</v>
      </c>
      <c r="C10" s="3"/>
      <c r="D10" s="3"/>
      <c r="E10" s="3"/>
      <c r="H10" s="71">
        <f>-H9*Drivers!$C$11</f>
        <v>-8091266.7164278757</v>
      </c>
      <c r="I10" s="71">
        <f>-I9*Drivers!$C$11</f>
        <v>-29701256.54049297</v>
      </c>
      <c r="J10" s="71">
        <f>-J9*Drivers!$C$11</f>
        <v>-37658114.712714471</v>
      </c>
      <c r="K10" s="71">
        <f>-K9*Drivers!$C$11</f>
        <v>-44994877.88673225</v>
      </c>
      <c r="L10" s="71">
        <f>-L9*Drivers!$C$11</f>
        <v>-50064594.997409374</v>
      </c>
    </row>
    <row r="11" spans="2:12">
      <c r="B11" s="14" t="s">
        <v>230</v>
      </c>
      <c r="C11" s="16"/>
      <c r="D11" s="16"/>
      <c r="E11" s="16"/>
      <c r="F11" s="16"/>
      <c r="G11" s="16"/>
      <c r="H11" s="82">
        <f>SUM(H9:H10)</f>
        <v>18879622.338331714</v>
      </c>
      <c r="I11" s="82">
        <f>SUM(I9:I10)</f>
        <v>69302931.927816942</v>
      </c>
      <c r="J11" s="82">
        <f>SUM(J9:J10)</f>
        <v>87868934.329667091</v>
      </c>
      <c r="K11" s="82">
        <f>SUM(K9:K10)</f>
        <v>104988048.40237525</v>
      </c>
      <c r="L11" s="82">
        <f>SUM(L9:L10)</f>
        <v>116817388.32728854</v>
      </c>
    </row>
    <row r="12" spans="2:12">
      <c r="B12" s="1" t="s">
        <v>158</v>
      </c>
      <c r="C12" s="3"/>
      <c r="D12" s="3"/>
      <c r="E12" s="3"/>
      <c r="H12" s="71"/>
      <c r="I12" s="71"/>
      <c r="J12" s="71"/>
      <c r="K12" s="71"/>
      <c r="L12" s="71"/>
    </row>
    <row r="13" spans="2:12">
      <c r="B13" s="92" t="s">
        <v>159</v>
      </c>
      <c r="C13" s="93"/>
      <c r="D13" s="93"/>
      <c r="E13" s="93"/>
      <c r="F13" s="93"/>
      <c r="G13" s="93"/>
      <c r="H13" s="215">
        <f>PPE!H8</f>
        <v>-6019750.4184452519</v>
      </c>
      <c r="I13" s="215">
        <f>PPE!I8</f>
        <v>-7938409.9625824811</v>
      </c>
      <c r="J13" s="215">
        <f>PPE!J8</f>
        <v>-10468598.920801241</v>
      </c>
      <c r="K13" s="215">
        <f>PPE!K8</f>
        <v>-13805228.487966521</v>
      </c>
      <c r="L13" s="216">
        <f>PPE!L8</f>
        <v>-18205333.401996028</v>
      </c>
    </row>
    <row r="14" spans="2:12">
      <c r="B14" s="94" t="s">
        <v>160</v>
      </c>
      <c r="C14" s="3"/>
      <c r="D14" s="3"/>
      <c r="E14" s="3"/>
      <c r="H14" s="71">
        <f>PPE!H9</f>
        <v>-94982.122526432926</v>
      </c>
      <c r="I14" s="71">
        <f>PPE!I9</f>
        <v>-125255.52976759555</v>
      </c>
      <c r="J14" s="71">
        <f>PPE!J9</f>
        <v>-165177.90211515731</v>
      </c>
      <c r="K14" s="71">
        <f>PPE!K9</f>
        <v>-217824.62936197626</v>
      </c>
      <c r="L14" s="217">
        <f>PPE!L9</f>
        <v>-287251.31236745726</v>
      </c>
    </row>
    <row r="15" spans="2:12">
      <c r="B15" s="95" t="s">
        <v>161</v>
      </c>
      <c r="C15" s="26"/>
      <c r="D15" s="26"/>
      <c r="E15" s="26"/>
      <c r="F15" s="26"/>
      <c r="G15" s="26"/>
      <c r="H15" s="88">
        <f>PPE!H10</f>
        <v>-68868.837912541523</v>
      </c>
      <c r="I15" s="88">
        <f>PPE!I10</f>
        <v>-90819.225215918297</v>
      </c>
      <c r="J15" s="88">
        <f>PPE!J10</f>
        <v>-119765.80292082499</v>
      </c>
      <c r="K15" s="88">
        <f>PPE!K10</f>
        <v>-157938.44877192128</v>
      </c>
      <c r="L15" s="218">
        <f>PPE!L10</f>
        <v>-208277.76370331016</v>
      </c>
    </row>
    <row r="16" spans="2:12">
      <c r="B16" s="1" t="s">
        <v>231</v>
      </c>
      <c r="C16" s="3"/>
      <c r="D16" s="3"/>
      <c r="E16" s="3"/>
      <c r="H16" s="71">
        <f>-PPE!H11</f>
        <v>6183601.3788842261</v>
      </c>
      <c r="I16" s="71">
        <f>-PPE!I11</f>
        <v>8154484.7175659947</v>
      </c>
      <c r="J16" s="71">
        <f>-PPE!J11</f>
        <v>10753542.625837224</v>
      </c>
      <c r="K16" s="71">
        <f>-PPE!K11</f>
        <v>14180991.566100419</v>
      </c>
      <c r="L16" s="71">
        <f>-PPE!L11</f>
        <v>18700862.478066795</v>
      </c>
    </row>
    <row r="17" spans="2:12" s="6" customFormat="1">
      <c r="B17" s="14" t="s">
        <v>232</v>
      </c>
      <c r="C17" s="16"/>
      <c r="D17" s="16"/>
      <c r="E17" s="16"/>
      <c r="F17" s="16"/>
      <c r="G17" s="16"/>
      <c r="H17" s="82">
        <f>SUM(H11,H16)</f>
        <v>25063223.71721594</v>
      </c>
      <c r="I17" s="82">
        <f>SUM(I11,I16)</f>
        <v>77457416.645382941</v>
      </c>
      <c r="J17" s="82">
        <f>SUM(J11,J16)</f>
        <v>98622476.955504313</v>
      </c>
      <c r="K17" s="82">
        <f>SUM(K11,K16)</f>
        <v>119169039.96847567</v>
      </c>
      <c r="L17" s="82">
        <f>SUM(L11,L16)</f>
        <v>135518250.80535534</v>
      </c>
    </row>
    <row r="18" spans="2:12">
      <c r="B18" s="1" t="s">
        <v>233</v>
      </c>
      <c r="H18" s="64">
        <f>-('Financial Position'!H18-'Financial Position'!G18)</f>
        <v>-16658458.585781842</v>
      </c>
      <c r="I18" s="64">
        <f>-('Financial Position'!I18-'Financial Position'!H18)</f>
        <v>-48991934.355414674</v>
      </c>
      <c r="J18" s="64">
        <f>-('Financial Position'!J18-'Financial Position'!I18)</f>
        <v>-49792577.324473515</v>
      </c>
      <c r="K18" s="64">
        <f>-('Financial Position'!K18-'Financial Position'!J18)</f>
        <v>-73892456.877813727</v>
      </c>
      <c r="L18" s="64">
        <f>-('Financial Position'!L18-'Financial Position'!K18)</f>
        <v>-110842882.4457472</v>
      </c>
    </row>
    <row r="19" spans="2:12">
      <c r="B19" s="1" t="s">
        <v>234</v>
      </c>
      <c r="H19" s="64">
        <f>-('Financial Position'!H17-'Financial Position'!G17)</f>
        <v>-12323699.316711176</v>
      </c>
      <c r="I19" s="64">
        <f>-('Financial Position'!I17-'Financial Position'!H17)</f>
        <v>-19565837.289846186</v>
      </c>
      <c r="J19" s="64">
        <f>-('Financial Position'!J17-'Financial Position'!I17)</f>
        <v>-31397607.675529219</v>
      </c>
      <c r="K19" s="64">
        <f>-('Financial Position'!K17-'Financial Position'!J17)</f>
        <v>-50269227.829465717</v>
      </c>
      <c r="L19" s="64">
        <f>-('Financial Position'!L17-'Financial Position'!K17)</f>
        <v>-80285473.266397715</v>
      </c>
    </row>
    <row r="20" spans="2:12">
      <c r="B20" s="1" t="s">
        <v>235</v>
      </c>
      <c r="H20" s="64">
        <f>'Financial Position'!H43-'Financial Position'!G43</f>
        <v>7939875.5748425089</v>
      </c>
      <c r="I20" s="64">
        <f>'Financial Position'!I43-'Financial Position'!H43</f>
        <v>12174298.75812652</v>
      </c>
      <c r="J20" s="64">
        <f>'Financial Position'!J43-'Financial Position'!I43</f>
        <v>19536289.220329281</v>
      </c>
      <c r="K20" s="64">
        <f>'Financial Position'!K43-'Financial Position'!J43</f>
        <v>31278630.64944534</v>
      </c>
      <c r="L20" s="64">
        <f>'Financial Position'!L43-'Financial Position'!K43</f>
        <v>49955405.587980807</v>
      </c>
    </row>
    <row r="21" spans="2:12" s="127" customFormat="1">
      <c r="B21" s="123" t="s">
        <v>236</v>
      </c>
      <c r="C21" s="124"/>
      <c r="D21" s="125"/>
      <c r="E21" s="125"/>
      <c r="F21" s="125"/>
      <c r="G21" s="126"/>
      <c r="H21" s="219">
        <f>SUM(H18:H20)</f>
        <v>-21042282.32765051</v>
      </c>
      <c r="I21" s="219">
        <f>SUM(I18:I20)</f>
        <v>-56383472.887134336</v>
      </c>
      <c r="J21" s="219">
        <f>SUM(J18:J20)</f>
        <v>-61653895.779673457</v>
      </c>
      <c r="K21" s="219">
        <f>SUM(K18:K20)</f>
        <v>-92883054.057834104</v>
      </c>
      <c r="L21" s="219">
        <f>SUM(L18:L20)</f>
        <v>-141172950.1241641</v>
      </c>
    </row>
    <row r="22" spans="2:12" s="127" customFormat="1">
      <c r="B22" s="128" t="s">
        <v>237</v>
      </c>
      <c r="C22" s="129"/>
      <c r="D22" s="130"/>
      <c r="E22" s="130"/>
      <c r="F22" s="130"/>
      <c r="G22" s="131"/>
      <c r="H22" s="220">
        <f>-PPE!H7</f>
        <v>-24877236.672372609</v>
      </c>
      <c r="I22" s="220">
        <f>-PPE!I7</f>
        <v>-32806294.233788267</v>
      </c>
      <c r="J22" s="220">
        <f>-PPE!J7</f>
        <v>-43262559.886690341</v>
      </c>
      <c r="K22" s="220">
        <f>-PPE!K7</f>
        <v>-57051524.156050406</v>
      </c>
      <c r="L22" s="220">
        <f>-PPE!L7</f>
        <v>-75235409.486939788</v>
      </c>
    </row>
    <row r="23" spans="2:12" s="127" customFormat="1">
      <c r="B23" s="128" t="s">
        <v>238</v>
      </c>
      <c r="C23" s="129"/>
      <c r="D23" s="130"/>
      <c r="E23" s="130"/>
      <c r="F23" s="130"/>
      <c r="G23" s="131"/>
      <c r="H23" s="220">
        <f>-('Financial Position'!H12-'Financial Position'!G12)-('Financial Position'!H13-'Financial Position'!G13)-('Financial Position'!H16-'Financial Position'!G16)-('Financial Position'!H19-'Financial Position'!G19)-('Financial Position'!H20-'Financial Position'!G20)-('Financial Position'!H22-'Financial Position'!G22)-('Financial Position'!H23-'Financial Position'!G23)</f>
        <v>-8946720.107606018</v>
      </c>
      <c r="I23" s="220">
        <f>-('Financial Position'!I12-'Financial Position'!H12)-('Financial Position'!I13-'Financial Position'!H13)-('Financial Position'!I16-'Financial Position'!H16)-('Financial Position'!I19-'Financial Position'!H19)-('Financial Position'!I20-'Financial Position'!H20)-('Financial Position'!I22-'Financial Position'!H22)-('Financial Position'!I23-'Financial Position'!H23)</f>
        <v>-18529567.406263612</v>
      </c>
      <c r="J23" s="220">
        <f>-('Financial Position'!J12-'Financial Position'!I12)-('Financial Position'!J13-'Financial Position'!I13)-('Financial Position'!J16-'Financial Position'!I16)-('Financial Position'!J19-'Financial Position'!I19)-('Financial Position'!J20-'Financial Position'!I20)-('Financial Position'!J22-'Financial Position'!I22)-('Financial Position'!J23-'Financial Position'!I23)</f>
        <v>-18832383.942469373</v>
      </c>
      <c r="K23" s="220">
        <f>-('Financial Position'!K12-'Financial Position'!J12)-('Financial Position'!K13-'Financial Position'!J13)-('Financial Position'!K16-'Financial Position'!J16)-('Financial Position'!K19-'Financial Position'!J19)-('Financial Position'!K20-'Financial Position'!J20)-('Financial Position'!K22-'Financial Position'!J22)-('Financial Position'!K23-'Financial Position'!J23)</f>
        <v>-27947360.694088422</v>
      </c>
      <c r="L23" s="220">
        <f>-('Financial Position'!L12-'Financial Position'!K12)-('Financial Position'!L13-'Financial Position'!K13)-('Financial Position'!L16-'Financial Position'!K16)-('Financial Position'!L19-'Financial Position'!K19)-('Financial Position'!L20-'Financial Position'!K20)-('Financial Position'!L22-'Financial Position'!K22)-('Financial Position'!L23-'Financial Position'!K23)</f>
        <v>-41922628.465394095</v>
      </c>
    </row>
    <row r="24" spans="2:12" s="127" customFormat="1">
      <c r="B24" s="132" t="s">
        <v>239</v>
      </c>
      <c r="C24" s="129"/>
      <c r="D24" s="130"/>
      <c r="E24" s="130"/>
      <c r="F24" s="130"/>
      <c r="G24" s="131"/>
      <c r="H24" s="220">
        <f>('Financial Position'!H40-'Financial Position'!G40)+('Financial Position'!H45-'Financial Position'!G45)+('Financial Position'!H46-'Financial Position'!G46)</f>
        <v>25168918.242338143</v>
      </c>
      <c r="I24" s="220">
        <f>('Financial Position'!I40-'Financial Position'!H40)+('Financial Position'!I45-'Financial Position'!H45)+('Financial Position'!I46-'Financial Position'!H46)</f>
        <v>74405454.628313124</v>
      </c>
      <c r="J24" s="220">
        <f>('Financial Position'!J40-'Financial Position'!I40)+('Financial Position'!J45-'Financial Position'!I45)+('Financial Position'!J46-'Financial Position'!I46)</f>
        <v>75621414.048809111</v>
      </c>
      <c r="K24" s="220">
        <f>('Financial Position'!K40-'Financial Position'!J40)+('Financial Position'!K45-'Financial Position'!J45)+('Financial Position'!K46-'Financial Position'!J46)</f>
        <v>112222591.7374725</v>
      </c>
      <c r="L24" s="220">
        <f>('Financial Position'!L40-'Financial Position'!K40)+('Financial Position'!L45-'Financial Position'!K45)+('Financial Position'!L46-'Financial Position'!K46)</f>
        <v>168340261.90633523</v>
      </c>
    </row>
    <row r="25" spans="2:12" s="127" customFormat="1" ht="12.75" thickBot="1">
      <c r="B25" s="133" t="s">
        <v>240</v>
      </c>
      <c r="C25" s="134"/>
      <c r="D25" s="135"/>
      <c r="E25" s="135"/>
      <c r="F25" s="136"/>
      <c r="G25" s="137"/>
      <c r="H25" s="221">
        <f>SUM(H17,H21:H24)</f>
        <v>-4634097.1480750516</v>
      </c>
      <c r="I25" s="221">
        <f>SUM(I17,I21:I24)</f>
        <v>44143536.74650985</v>
      </c>
      <c r="J25" s="221">
        <f>SUM(J17,J21:J24)</f>
        <v>50495051.395480253</v>
      </c>
      <c r="K25" s="221">
        <f>SUM(K17,K21:K24)</f>
        <v>53509692.797975242</v>
      </c>
      <c r="L25" s="221">
        <f>SUM(L17,L21:L24)</f>
        <v>45527524.635192588</v>
      </c>
    </row>
    <row r="28" spans="2:12">
      <c r="D28" s="163" t="s">
        <v>249</v>
      </c>
      <c r="E28" s="170"/>
      <c r="F28" s="170"/>
      <c r="G28" s="170"/>
      <c r="H28" s="170"/>
      <c r="I28" s="170"/>
      <c r="J28" s="170"/>
      <c r="K28" s="170"/>
      <c r="L28" s="170"/>
    </row>
    <row r="29" spans="2:12">
      <c r="B29" s="164"/>
      <c r="C29" s="175"/>
      <c r="D29" s="163"/>
      <c r="E29" s="170"/>
      <c r="F29" s="170"/>
      <c r="G29" s="170"/>
      <c r="H29" s="243">
        <v>1</v>
      </c>
      <c r="I29" s="243">
        <v>2</v>
      </c>
      <c r="J29" s="243">
        <v>3</v>
      </c>
      <c r="K29" s="243">
        <v>4</v>
      </c>
      <c r="L29" s="243">
        <v>5</v>
      </c>
    </row>
    <row r="30" spans="2:12">
      <c r="B30" s="11"/>
      <c r="C30" s="39" t="s">
        <v>62</v>
      </c>
      <c r="D30" s="39" t="s">
        <v>63</v>
      </c>
      <c r="E30" s="39" t="s">
        <v>64</v>
      </c>
      <c r="F30" s="40" t="s">
        <v>65</v>
      </c>
      <c r="G30" s="40" t="s">
        <v>66</v>
      </c>
      <c r="H30" s="39" t="s">
        <v>67</v>
      </c>
      <c r="I30" s="39" t="s">
        <v>68</v>
      </c>
      <c r="J30" s="39" t="s">
        <v>69</v>
      </c>
      <c r="K30" s="39" t="s">
        <v>70</v>
      </c>
      <c r="L30" s="39" t="s">
        <v>71</v>
      </c>
    </row>
    <row r="31" spans="2:12" ht="12.75" thickBot="1">
      <c r="B31" s="55"/>
      <c r="C31" s="270" t="s">
        <v>72</v>
      </c>
      <c r="D31" s="270"/>
      <c r="E31" s="270"/>
      <c r="F31" s="270"/>
      <c r="G31" s="270"/>
      <c r="H31" s="270"/>
      <c r="I31" s="270"/>
      <c r="J31" s="270"/>
      <c r="K31" s="270"/>
      <c r="L31" s="270"/>
    </row>
    <row r="32" spans="2:12">
      <c r="B32" s="163" t="s">
        <v>240</v>
      </c>
      <c r="C32" s="166"/>
      <c r="D32" s="166"/>
      <c r="E32" s="166"/>
      <c r="F32" s="166"/>
      <c r="G32" s="166"/>
      <c r="H32" s="166">
        <f>'DCF Valuation'!H25</f>
        <v>-4634097.1480750516</v>
      </c>
      <c r="I32" s="166">
        <f>'DCF Valuation'!I25</f>
        <v>44143536.74650985</v>
      </c>
      <c r="J32" s="166">
        <f>'DCF Valuation'!J25</f>
        <v>50495051.395480253</v>
      </c>
      <c r="K32" s="166">
        <f>'DCF Valuation'!K25</f>
        <v>53509692.797975242</v>
      </c>
      <c r="L32" s="166">
        <f>'DCF Valuation'!L25</f>
        <v>45527524.635192588</v>
      </c>
    </row>
    <row r="33" spans="2:12">
      <c r="B33" s="163" t="s">
        <v>265</v>
      </c>
      <c r="C33" s="166"/>
      <c r="D33" s="166"/>
      <c r="E33" s="166"/>
      <c r="F33" s="166"/>
      <c r="G33" s="166"/>
      <c r="H33" s="244">
        <f>1/(1+$C$3)^H29</f>
        <v>0.84484496674797793</v>
      </c>
      <c r="I33" s="244">
        <f t="shared" ref="I33:K33" si="0">1/(1+$C$3)^I29</f>
        <v>0.713763017839392</v>
      </c>
      <c r="J33" s="244">
        <f t="shared" si="0"/>
        <v>0.6030190930724576</v>
      </c>
      <c r="K33" s="244">
        <f t="shared" si="0"/>
        <v>0.50945764563519624</v>
      </c>
      <c r="L33" s="244">
        <f>1/(1+$C$3)^L29</f>
        <v>0.4304127276861705</v>
      </c>
    </row>
    <row r="34" spans="2:12" s="6" customFormat="1">
      <c r="B34" s="246" t="s">
        <v>252</v>
      </c>
      <c r="C34" s="247"/>
      <c r="D34" s="247"/>
      <c r="E34" s="247"/>
      <c r="F34" s="247"/>
      <c r="G34" s="247"/>
      <c r="H34" s="247">
        <f>H32*H33</f>
        <v>-3915093.6509723663</v>
      </c>
      <c r="I34" s="247">
        <f t="shared" ref="I34:L34" si="1">I32*I33</f>
        <v>31508024.006292965</v>
      </c>
      <c r="J34" s="247">
        <f t="shared" si="1"/>
        <v>30449480.097149637</v>
      </c>
      <c r="K34" s="247">
        <f t="shared" si="1"/>
        <v>27260922.111519083</v>
      </c>
      <c r="L34" s="247">
        <f t="shared" si="1"/>
        <v>19595626.063032568</v>
      </c>
    </row>
    <row r="35" spans="2:12">
      <c r="B35" s="163" t="s">
        <v>250</v>
      </c>
      <c r="C35" s="166"/>
      <c r="D35" s="166"/>
      <c r="E35" s="166"/>
      <c r="F35" s="166"/>
      <c r="G35" s="166"/>
      <c r="H35" s="166"/>
      <c r="I35" s="166"/>
      <c r="J35" s="166"/>
      <c r="K35" s="166"/>
      <c r="L35" s="166">
        <f>(L32*(1+C4))/(C3-C4)</f>
        <v>329613061.17017406</v>
      </c>
    </row>
    <row r="36" spans="2:12" s="6" customFormat="1">
      <c r="B36" s="248" t="s">
        <v>253</v>
      </c>
      <c r="C36" s="249"/>
      <c r="D36" s="249"/>
      <c r="E36" s="249"/>
      <c r="F36" s="249"/>
      <c r="G36" s="249"/>
      <c r="H36" s="249"/>
      <c r="I36" s="249"/>
      <c r="J36" s="249"/>
      <c r="K36" s="249"/>
      <c r="L36" s="248">
        <f>L35/(1+C3)^L29</f>
        <v>141869656.73924318</v>
      </c>
    </row>
    <row r="37" spans="2:12">
      <c r="G37" s="1"/>
    </row>
    <row r="38" spans="2:12">
      <c r="B38" s="271" t="s">
        <v>254</v>
      </c>
      <c r="C38" s="271"/>
      <c r="D38" s="271"/>
      <c r="E38" s="271"/>
      <c r="F38" s="271"/>
      <c r="G38" s="170"/>
    </row>
    <row r="39" spans="2:12">
      <c r="B39" s="163" t="s">
        <v>255</v>
      </c>
      <c r="C39" s="170"/>
      <c r="D39" s="170"/>
      <c r="E39" s="166"/>
      <c r="F39" s="166">
        <f>SUM(H34:L34)</f>
        <v>104898958.62702188</v>
      </c>
      <c r="G39" s="170"/>
    </row>
    <row r="40" spans="2:12">
      <c r="B40" s="163" t="s">
        <v>257</v>
      </c>
      <c r="C40" s="170"/>
      <c r="D40" s="170"/>
      <c r="E40" s="166"/>
      <c r="F40" s="166">
        <f>L36</f>
        <v>141869656.73924318</v>
      </c>
      <c r="G40" s="170"/>
    </row>
    <row r="41" spans="2:12">
      <c r="B41" s="165" t="s">
        <v>258</v>
      </c>
      <c r="C41" s="165"/>
      <c r="D41" s="165"/>
      <c r="E41" s="167"/>
      <c r="F41" s="167">
        <f>SUM(F39:F40)</f>
        <v>246768615.36626506</v>
      </c>
      <c r="G41" s="170"/>
    </row>
    <row r="42" spans="2:12">
      <c r="B42" s="168" t="s">
        <v>259</v>
      </c>
      <c r="C42" s="170"/>
      <c r="D42" s="170"/>
      <c r="E42" s="166"/>
      <c r="F42" s="166">
        <f>'Financial Position'!G25</f>
        <v>1544502</v>
      </c>
      <c r="G42" s="166"/>
    </row>
    <row r="43" spans="2:12">
      <c r="B43" s="168" t="s">
        <v>260</v>
      </c>
      <c r="C43" s="170"/>
      <c r="D43" s="170"/>
      <c r="E43" s="166"/>
      <c r="F43" s="166">
        <f>-('Financial Position'!G41+'Financial Position'!G49+'Financial Position'!G46)</f>
        <v>-123587226</v>
      </c>
      <c r="G43" s="170"/>
    </row>
    <row r="44" spans="2:12" s="127" customFormat="1">
      <c r="B44" s="252" t="s">
        <v>261</v>
      </c>
      <c r="C44" s="252"/>
      <c r="D44" s="252"/>
      <c r="E44" s="253"/>
      <c r="F44" s="253">
        <f>SUM(F41:F43)</f>
        <v>124725891.36626506</v>
      </c>
      <c r="G44" s="170"/>
    </row>
    <row r="45" spans="2:12">
      <c r="B45" s="251" t="s">
        <v>266</v>
      </c>
      <c r="C45" s="164"/>
      <c r="D45" s="164"/>
      <c r="E45" s="250"/>
      <c r="F45" s="254">
        <f>1+C3/2</f>
        <v>1.0918245591550677</v>
      </c>
      <c r="G45" s="170"/>
    </row>
    <row r="46" spans="2:12">
      <c r="B46" s="252" t="s">
        <v>267</v>
      </c>
      <c r="C46" s="252"/>
      <c r="D46" s="252"/>
      <c r="E46" s="253"/>
      <c r="F46" s="253">
        <f>F44*F45</f>
        <v>136178791.35619521</v>
      </c>
      <c r="G46" s="170"/>
    </row>
    <row r="47" spans="2:12">
      <c r="B47" s="163" t="s">
        <v>268</v>
      </c>
      <c r="C47" s="170"/>
      <c r="D47" s="170"/>
      <c r="E47" s="170"/>
      <c r="F47" s="166">
        <v>1500000</v>
      </c>
      <c r="G47" s="170"/>
    </row>
    <row r="48" spans="2:12">
      <c r="B48" s="162" t="s">
        <v>263</v>
      </c>
      <c r="C48" s="162"/>
      <c r="D48" s="162"/>
      <c r="E48" s="162"/>
      <c r="F48" s="162">
        <f>F46/F47</f>
        <v>90.785860904130146</v>
      </c>
      <c r="G48" s="170"/>
    </row>
    <row r="51" spans="2:13" ht="12.75">
      <c r="B51" s="238" t="s">
        <v>269</v>
      </c>
      <c r="D51" s="272" t="s">
        <v>270</v>
      </c>
      <c r="E51" s="272"/>
      <c r="F51" s="272"/>
      <c r="G51" s="272"/>
      <c r="H51" s="272"/>
      <c r="I51" s="272"/>
      <c r="J51" s="272"/>
      <c r="K51" s="272"/>
      <c r="L51" s="272"/>
      <c r="M51" s="272"/>
    </row>
    <row r="52" spans="2:13">
      <c r="D52" s="272"/>
      <c r="E52" s="272"/>
      <c r="F52" s="272"/>
      <c r="G52" s="272"/>
      <c r="H52" s="272"/>
      <c r="I52" s="272"/>
      <c r="J52" s="272"/>
      <c r="K52" s="272"/>
      <c r="L52" s="272"/>
      <c r="M52" s="272"/>
    </row>
    <row r="53" spans="2:13">
      <c r="C53" s="235">
        <f>F48</f>
        <v>90.785860904130146</v>
      </c>
      <c r="D53" s="255">
        <v>0.01</v>
      </c>
      <c r="E53" s="255">
        <v>0.02</v>
      </c>
      <c r="F53" s="255">
        <v>0.03</v>
      </c>
      <c r="G53" s="255">
        <v>0.04</v>
      </c>
      <c r="H53" s="255">
        <v>0.05</v>
      </c>
      <c r="I53" s="255">
        <v>0.06</v>
      </c>
      <c r="J53" s="255">
        <v>7.0000000000000007E-2</v>
      </c>
      <c r="K53" s="255">
        <v>0.08</v>
      </c>
      <c r="L53" s="255">
        <v>0.09</v>
      </c>
      <c r="M53" s="255">
        <v>0.1</v>
      </c>
    </row>
    <row r="54" spans="2:13">
      <c r="B54" s="273" t="s">
        <v>271</v>
      </c>
      <c r="C54" s="256">
        <v>0.12</v>
      </c>
      <c r="D54" s="182">
        <f t="dataTable" ref="D54:M64" dt2D="1" dtr="1" r1="C4" r2="C3"/>
        <v>171.00684094036603</v>
      </c>
      <c r="E54" s="182">
        <v>189.59446449729177</v>
      </c>
      <c r="F54" s="182">
        <v>212.31267106686758</v>
      </c>
      <c r="G54" s="182">
        <v>240.71042927883741</v>
      </c>
      <c r="H54" s="182">
        <v>277.22183269422715</v>
      </c>
      <c r="I54" s="182">
        <v>325.90370391474681</v>
      </c>
      <c r="J54" s="182">
        <v>394.05832362347434</v>
      </c>
      <c r="K54" s="182">
        <v>496.29025318656556</v>
      </c>
      <c r="L54" s="182">
        <v>666.67680245838437</v>
      </c>
      <c r="M54" s="182">
        <v>1007.4499010020222</v>
      </c>
    </row>
    <row r="55" spans="2:13">
      <c r="B55" s="273"/>
      <c r="C55" s="256">
        <v>0.14000000000000001</v>
      </c>
      <c r="D55" s="182">
        <v>129.09728961460874</v>
      </c>
      <c r="E55" s="182">
        <v>141.42330067143004</v>
      </c>
      <c r="F55" s="182">
        <v>155.9904046476733</v>
      </c>
      <c r="G55" s="182">
        <v>173.47092941916529</v>
      </c>
      <c r="H55" s="182">
        <v>194.83601525098879</v>
      </c>
      <c r="I55" s="182">
        <v>221.54237254076821</v>
      </c>
      <c r="J55" s="182">
        <v>255.87911762762749</v>
      </c>
      <c r="K55" s="182">
        <v>301.66144441010653</v>
      </c>
      <c r="L55" s="182">
        <v>365.75670190557702</v>
      </c>
      <c r="M55" s="182">
        <v>461.89958814878281</v>
      </c>
    </row>
    <row r="56" spans="2:13">
      <c r="B56" s="273"/>
      <c r="C56" s="256">
        <v>0.16</v>
      </c>
      <c r="D56" s="182">
        <v>98.136587812806852</v>
      </c>
      <c r="E56" s="182">
        <v>106.75754092065284</v>
      </c>
      <c r="F56" s="182">
        <v>116.70479450662901</v>
      </c>
      <c r="G56" s="182">
        <v>128.30992369026788</v>
      </c>
      <c r="H56" s="182">
        <v>142.02507636184109</v>
      </c>
      <c r="I56" s="182">
        <v>158.48325956772894</v>
      </c>
      <c r="J56" s="182">
        <v>178.59881681936969</v>
      </c>
      <c r="K56" s="182">
        <v>203.74326338392046</v>
      </c>
      <c r="L56" s="182">
        <v>236.07183753834312</v>
      </c>
      <c r="M56" s="182">
        <v>279.17660307757319</v>
      </c>
    </row>
    <row r="57" spans="2:13">
      <c r="B57" s="273"/>
      <c r="C57" s="256">
        <v>0.18</v>
      </c>
      <c r="D57" s="182">
        <v>74.264398721027703</v>
      </c>
      <c r="E57" s="182">
        <v>80.537933986920294</v>
      </c>
      <c r="F57" s="182">
        <v>87.647940621598536</v>
      </c>
      <c r="G57" s="182">
        <v>95.773662489802263</v>
      </c>
      <c r="H57" s="182">
        <v>105.1494954146527</v>
      </c>
      <c r="I57" s="182">
        <v>116.08796716031161</v>
      </c>
      <c r="J57" s="182">
        <v>129.0152519506357</v>
      </c>
      <c r="K57" s="182">
        <v>144.52799369902465</v>
      </c>
      <c r="L57" s="182">
        <v>163.48801139150001</v>
      </c>
      <c r="M57" s="182">
        <v>187.18803350709419</v>
      </c>
    </row>
    <row r="58" spans="2:13">
      <c r="B58" s="273"/>
      <c r="C58" s="256">
        <v>0.18365000000000001</v>
      </c>
      <c r="D58" s="182">
        <v>70.480599512582685</v>
      </c>
      <c r="E58" s="182">
        <v>76.421493549308423</v>
      </c>
      <c r="F58" s="182">
        <v>83.135689771094405</v>
      </c>
      <c r="G58" s="182">
        <v>90.784685327622611</v>
      </c>
      <c r="H58" s="182">
        <v>99.578311719396396</v>
      </c>
      <c r="I58" s="236">
        <v>109.79427962217277</v>
      </c>
      <c r="J58" s="182">
        <v>121.80804214048396</v>
      </c>
      <c r="K58" s="182">
        <v>136.13994503859465</v>
      </c>
      <c r="L58" s="182">
        <v>153.53258534153409</v>
      </c>
      <c r="M58" s="182">
        <v>175.08365727697554</v>
      </c>
    </row>
    <row r="59" spans="2:13">
      <c r="B59" s="273"/>
      <c r="C59" s="256">
        <v>0.2</v>
      </c>
      <c r="D59" s="182">
        <v>55.24525280184902</v>
      </c>
      <c r="E59" s="182">
        <v>59.95312184660736</v>
      </c>
      <c r="F59" s="182">
        <v>65.21485783780787</v>
      </c>
      <c r="G59" s="182">
        <v>71.134310827908422</v>
      </c>
      <c r="H59" s="182">
        <v>77.843024216689017</v>
      </c>
      <c r="I59" s="182">
        <v>85.510125232438313</v>
      </c>
      <c r="J59" s="182">
        <v>94.356780250610583</v>
      </c>
      <c r="K59" s="182">
        <v>104.67787777181158</v>
      </c>
      <c r="L59" s="182">
        <v>116.87553847868544</v>
      </c>
      <c r="M59" s="182">
        <v>131.51273132693407</v>
      </c>
    </row>
    <row r="60" spans="2:13">
      <c r="B60" s="273"/>
      <c r="C60" s="256">
        <v>0.22</v>
      </c>
      <c r="D60" s="182">
        <v>39.694871285585371</v>
      </c>
      <c r="E60" s="182">
        <v>43.315776403071659</v>
      </c>
      <c r="F60" s="182">
        <v>47.317829427661756</v>
      </c>
      <c r="G60" s="182">
        <v>51.764555010539652</v>
      </c>
      <c r="H60" s="182">
        <v>56.734424779638459</v>
      </c>
      <c r="I60" s="182">
        <v>62.325528269874631</v>
      </c>
      <c r="J60" s="182">
        <v>68.662112225475639</v>
      </c>
      <c r="K60" s="182">
        <v>75.903922460448186</v>
      </c>
      <c r="L60" s="182">
        <v>84.259857346955016</v>
      </c>
      <c r="M60" s="182">
        <v>94.008448047879597</v>
      </c>
    </row>
    <row r="61" spans="2:13">
      <c r="B61" s="273"/>
      <c r="C61" s="256">
        <v>0.24</v>
      </c>
      <c r="D61" s="182">
        <v>26.710137424506147</v>
      </c>
      <c r="E61" s="182">
        <v>29.551741350774368</v>
      </c>
      <c r="F61" s="182">
        <v>32.663974222401443</v>
      </c>
      <c r="G61" s="182">
        <v>36.087430381191247</v>
      </c>
      <c r="H61" s="182">
        <v>39.871250346169418</v>
      </c>
      <c r="I61" s="182">
        <v>44.075494751700752</v>
      </c>
      <c r="J61" s="182">
        <v>48.774356146118137</v>
      </c>
      <c r="K61" s="182">
        <v>54.060575214837662</v>
      </c>
      <c r="L61" s="182">
        <v>60.051623492719791</v>
      </c>
      <c r="M61" s="182">
        <v>66.898535810299379</v>
      </c>
    </row>
    <row r="62" spans="2:13">
      <c r="B62" s="273"/>
      <c r="C62" s="256">
        <v>0.26</v>
      </c>
      <c r="D62" s="237">
        <v>15.676674164192837</v>
      </c>
      <c r="E62" s="237">
        <v>17.944594481141841</v>
      </c>
      <c r="F62" s="237">
        <v>20.409725260434229</v>
      </c>
      <c r="G62" s="237">
        <v>23.098958837844119</v>
      </c>
      <c r="H62" s="237">
        <v>26.044309898816849</v>
      </c>
      <c r="I62" s="237">
        <v>29.284196065886871</v>
      </c>
      <c r="J62" s="237">
        <v>32.865122882122122</v>
      </c>
      <c r="K62" s="237">
        <v>36.843930455716873</v>
      </c>
      <c r="L62" s="237">
        <v>41.290833037969797</v>
      </c>
      <c r="M62" s="237">
        <v>46.29359844300437</v>
      </c>
    </row>
    <row r="63" spans="2:13">
      <c r="B63" s="273"/>
      <c r="C63" s="256">
        <v>0.28000000000000003</v>
      </c>
      <c r="D63" s="237">
        <v>6.1619370920196141</v>
      </c>
      <c r="E63" s="237">
        <v>7.9980975882549012</v>
      </c>
      <c r="F63" s="237">
        <v>9.9811509241889969</v>
      </c>
      <c r="G63" s="237">
        <v>12.129458704784264</v>
      </c>
      <c r="H63" s="237">
        <v>14.464575857605192</v>
      </c>
      <c r="I63" s="237">
        <v>17.01197638795534</v>
      </c>
      <c r="J63" s="237">
        <v>19.801986492624501</v>
      </c>
      <c r="K63" s="237">
        <v>22.870997607760614</v>
      </c>
      <c r="L63" s="237">
        <v>26.263062524489978</v>
      </c>
      <c r="M63" s="237">
        <v>30.032023543078168</v>
      </c>
    </row>
    <row r="64" spans="2:13">
      <c r="B64" s="273"/>
      <c r="C64" s="256">
        <v>0.3</v>
      </c>
      <c r="D64" s="237">
        <v>-2.1474597409976739</v>
      </c>
      <c r="E64" s="237">
        <v>-0.6424088649430969</v>
      </c>
      <c r="F64" s="237">
        <v>0.97412726118959081</v>
      </c>
      <c r="G64" s="237">
        <v>2.7150123201017178</v>
      </c>
      <c r="H64" s="237">
        <v>4.5951681837268046</v>
      </c>
      <c r="I64" s="237">
        <v>6.6320037026539982</v>
      </c>
      <c r="J64" s="237">
        <v>8.8459553536618039</v>
      </c>
      <c r="K64" s="237">
        <v>11.261175336579445</v>
      </c>
      <c r="L64" s="237">
        <v>13.906416270251116</v>
      </c>
      <c r="M64" s="237">
        <v>16.81618129728994</v>
      </c>
    </row>
    <row r="65" spans="2:13">
      <c r="B65" s="273"/>
      <c r="D65" s="182"/>
      <c r="E65" s="182"/>
      <c r="F65" s="182"/>
      <c r="G65" s="182"/>
      <c r="H65" s="182"/>
      <c r="I65" s="182"/>
      <c r="J65" s="182"/>
      <c r="K65" s="182"/>
      <c r="L65" s="182"/>
      <c r="M65" s="182"/>
    </row>
  </sheetData>
  <mergeCells count="5">
    <mergeCell ref="C7:L7"/>
    <mergeCell ref="C31:L31"/>
    <mergeCell ref="B38:F38"/>
    <mergeCell ref="D51:M52"/>
    <mergeCell ref="B54:B65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F516C-84C8-4EA4-95A0-A3389B9ED598}">
  <dimension ref="B1:N39"/>
  <sheetViews>
    <sheetView topLeftCell="A14" zoomScaleNormal="100" workbookViewId="0">
      <selection activeCell="F35" sqref="F35"/>
    </sheetView>
  </sheetViews>
  <sheetFormatPr defaultRowHeight="12"/>
  <cols>
    <col min="1" max="1" width="2" style="1" customWidth="1"/>
    <col min="2" max="2" width="31.42578125" style="1" customWidth="1"/>
    <col min="3" max="3" width="16" style="1" bestFit="1" customWidth="1"/>
    <col min="4" max="7" width="9.140625" style="1" customWidth="1"/>
    <col min="8" max="8" width="13.140625" style="1" bestFit="1" customWidth="1"/>
    <col min="9" max="11" width="14.5703125" style="1" bestFit="1" customWidth="1"/>
    <col min="12" max="12" width="15.5703125" style="1" bestFit="1" customWidth="1"/>
    <col min="13" max="13" width="15.5703125" style="1" customWidth="1"/>
    <col min="14" max="14" width="29.7109375" style="1" customWidth="1"/>
    <col min="15" max="16384" width="9.140625" style="1"/>
  </cols>
  <sheetData>
    <row r="1" spans="2:14" ht="15.75">
      <c r="B1" s="2" t="s">
        <v>11</v>
      </c>
    </row>
    <row r="3" spans="2:14">
      <c r="B3" s="241" t="s">
        <v>272</v>
      </c>
      <c r="C3" s="258">
        <f>WACC!C9</f>
        <v>0.23569000000000001</v>
      </c>
    </row>
    <row r="4" spans="2:14">
      <c r="B4" s="241" t="s">
        <v>264</v>
      </c>
      <c r="C4" s="241">
        <f>Drivers!C12</f>
        <v>0.04</v>
      </c>
    </row>
    <row r="5" spans="2:14">
      <c r="H5" s="6">
        <v>1</v>
      </c>
      <c r="I5" s="6">
        <v>2</v>
      </c>
      <c r="J5" s="6">
        <v>3</v>
      </c>
      <c r="K5" s="6">
        <v>4</v>
      </c>
      <c r="L5" s="6">
        <v>5</v>
      </c>
      <c r="M5" s="6"/>
    </row>
    <row r="6" spans="2:14">
      <c r="B6" s="11"/>
      <c r="C6" s="39" t="s">
        <v>62</v>
      </c>
      <c r="D6" s="39" t="s">
        <v>63</v>
      </c>
      <c r="E6" s="39" t="s">
        <v>64</v>
      </c>
      <c r="F6" s="40" t="s">
        <v>65</v>
      </c>
      <c r="G6" s="40" t="s">
        <v>66</v>
      </c>
      <c r="H6" s="39" t="s">
        <v>67</v>
      </c>
      <c r="I6" s="39" t="s">
        <v>68</v>
      </c>
      <c r="J6" s="39" t="s">
        <v>69</v>
      </c>
      <c r="K6" s="39" t="s">
        <v>70</v>
      </c>
      <c r="L6" s="39" t="s">
        <v>71</v>
      </c>
      <c r="M6" s="39"/>
    </row>
    <row r="7" spans="2:14" ht="12.75" thickBot="1">
      <c r="B7" s="11"/>
      <c r="C7" s="274" t="s">
        <v>72</v>
      </c>
      <c r="D7" s="274"/>
      <c r="E7" s="274"/>
      <c r="F7" s="274"/>
      <c r="G7" s="274"/>
      <c r="H7" s="274"/>
      <c r="I7" s="274"/>
      <c r="J7" s="274"/>
      <c r="K7" s="274"/>
      <c r="L7" s="274"/>
      <c r="M7" s="227"/>
      <c r="N7" s="228" t="s">
        <v>73</v>
      </c>
    </row>
    <row r="8" spans="2:14">
      <c r="B8" s="229" t="s">
        <v>273</v>
      </c>
      <c r="C8" s="230"/>
      <c r="D8" s="230"/>
      <c r="E8" s="230"/>
      <c r="F8" s="230"/>
      <c r="G8" s="230"/>
      <c r="H8" s="230">
        <f>'Income Statement'!H35</f>
        <v>15079612.90508179</v>
      </c>
      <c r="I8" s="230">
        <f>'Income Statement'!I35</f>
        <v>65635359.425962031</v>
      </c>
      <c r="J8" s="230">
        <f>'Income Statement'!J35</f>
        <v>84201361.827812195</v>
      </c>
      <c r="K8" s="230">
        <f>'Income Statement'!K35</f>
        <v>101320475.90052035</v>
      </c>
      <c r="L8" s="230">
        <f>'Income Statement'!L35</f>
        <v>113149815.82543364</v>
      </c>
      <c r="M8" s="230"/>
      <c r="N8" s="231"/>
    </row>
    <row r="9" spans="2:14">
      <c r="B9" s="1" t="s">
        <v>274</v>
      </c>
      <c r="C9" s="20"/>
      <c r="D9" s="20"/>
      <c r="E9" s="20"/>
      <c r="F9" s="20"/>
      <c r="G9" s="20"/>
      <c r="H9" s="20">
        <f>'Financial Position'!G36</f>
        <v>43806406</v>
      </c>
      <c r="I9" s="20">
        <f>'Financial Position'!H36</f>
        <v>58941245.051170252</v>
      </c>
      <c r="J9" s="20">
        <f>'Financial Position'!I36</f>
        <v>113137390.59193988</v>
      </c>
      <c r="K9" s="20">
        <f>'Financial Position'!J36</f>
        <v>181344324.43591151</v>
      </c>
      <c r="L9" s="20">
        <f>'Financial Position'!K36</f>
        <v>263075358.3973226</v>
      </c>
      <c r="M9" s="20">
        <f>-L10</f>
        <v>354151570.89941519</v>
      </c>
      <c r="N9" s="228"/>
    </row>
    <row r="10" spans="2:14">
      <c r="B10" s="1" t="s">
        <v>275</v>
      </c>
      <c r="C10" s="20"/>
      <c r="D10" s="20"/>
      <c r="E10" s="20"/>
      <c r="F10" s="20"/>
      <c r="G10" s="20"/>
      <c r="H10" s="20">
        <f>-'Financial Position'!H36</f>
        <v>-58941245.051170252</v>
      </c>
      <c r="I10" s="20">
        <f>-'Financial Position'!I36</f>
        <v>-113137390.59193988</v>
      </c>
      <c r="J10" s="20">
        <f>-'Financial Position'!J36</f>
        <v>-181344324.43591151</v>
      </c>
      <c r="K10" s="20">
        <f>-'Financial Position'!K36</f>
        <v>-263075358.3973226</v>
      </c>
      <c r="L10" s="20">
        <f>-'Financial Position'!L36</f>
        <v>-354151570.89941519</v>
      </c>
      <c r="M10" s="20"/>
      <c r="N10" s="228"/>
    </row>
    <row r="11" spans="2:14">
      <c r="B11" s="14" t="s">
        <v>276</v>
      </c>
      <c r="C11" s="226"/>
      <c r="D11" s="226"/>
      <c r="E11" s="226"/>
      <c r="F11" s="226"/>
      <c r="G11" s="226"/>
      <c r="H11" s="226">
        <f>SUM(H8:H10)</f>
        <v>-55226.146088458598</v>
      </c>
      <c r="I11" s="226">
        <f t="shared" ref="I11:L11" si="0">SUM(I8:I10)</f>
        <v>11439213.885192409</v>
      </c>
      <c r="J11" s="226">
        <f t="shared" si="0"/>
        <v>15994427.983840555</v>
      </c>
      <c r="K11" s="226">
        <f t="shared" si="0"/>
        <v>19589441.939109266</v>
      </c>
      <c r="L11" s="226">
        <f t="shared" si="0"/>
        <v>22073603.323341072</v>
      </c>
      <c r="M11" s="226">
        <f>(L8*(1+C4))+M9-M9*(1+C4)</f>
        <v>103509745.62247437</v>
      </c>
      <c r="N11" s="228"/>
    </row>
    <row r="12" spans="2:14">
      <c r="B12" s="1" t="s">
        <v>277</v>
      </c>
      <c r="H12" s="245">
        <f>1/(1+$C$3)^H5</f>
        <v>0.80926445953273074</v>
      </c>
      <c r="I12" s="245">
        <f>1/(1+$C$3)^I5</f>
        <v>0.65490896546280286</v>
      </c>
      <c r="J12" s="245">
        <f>1/(1+$C$3)^J5</f>
        <v>0.5299945499783949</v>
      </c>
      <c r="K12" s="245">
        <f>1/(1+$C$3)^K5</f>
        <v>0.42890575304355866</v>
      </c>
      <c r="L12" s="245">
        <f>1/(1+$C$3)^L5</f>
        <v>0.34709818242727436</v>
      </c>
      <c r="M12" s="225"/>
      <c r="N12" s="228"/>
    </row>
    <row r="13" spans="2:14">
      <c r="B13" s="14" t="s">
        <v>278</v>
      </c>
      <c r="C13" s="14"/>
      <c r="D13" s="14"/>
      <c r="E13" s="14"/>
      <c r="F13" s="14"/>
      <c r="G13" s="14"/>
      <c r="H13" s="234">
        <f>H11*H12</f>
        <v>-44692.55726635208</v>
      </c>
      <c r="I13" s="234">
        <f>I11*I12</f>
        <v>7491643.7312590908</v>
      </c>
      <c r="J13" s="234">
        <f>J11*J12</f>
        <v>8476959.6614574213</v>
      </c>
      <c r="K13" s="234">
        <f>K11*K12</f>
        <v>8402024.346596729</v>
      </c>
      <c r="L13" s="234">
        <f>L11*L12</f>
        <v>7661707.5931523284</v>
      </c>
      <c r="M13" s="20"/>
      <c r="N13" s="228"/>
    </row>
    <row r="14" spans="2:14">
      <c r="H14" s="20"/>
      <c r="I14" s="20"/>
      <c r="J14" s="20"/>
      <c r="K14" s="20"/>
      <c r="L14" s="20"/>
      <c r="M14" s="20"/>
      <c r="N14" s="228"/>
    </row>
    <row r="15" spans="2:14">
      <c r="B15" s="1" t="s">
        <v>279</v>
      </c>
      <c r="C15" s="20">
        <f>SUM(H13:L13)</f>
        <v>31987642.77519922</v>
      </c>
    </row>
    <row r="16" spans="2:14">
      <c r="B16" s="1" t="s">
        <v>280</v>
      </c>
      <c r="C16" s="183">
        <f>M11*(1/C3-C4)*(1/(1+C3)^L5)</f>
        <v>151000591.18372017</v>
      </c>
    </row>
    <row r="17" spans="2:13">
      <c r="B17" s="14" t="s">
        <v>281</v>
      </c>
      <c r="C17" s="232">
        <f>SUM(C15:C16)</f>
        <v>182988233.95891941</v>
      </c>
    </row>
    <row r="18" spans="2:13">
      <c r="B18" s="1" t="s">
        <v>266</v>
      </c>
      <c r="C18" s="1">
        <f>1+(C3/2)</f>
        <v>1.117845</v>
      </c>
    </row>
    <row r="19" spans="2:13">
      <c r="B19" s="14" t="s">
        <v>282</v>
      </c>
      <c r="C19" s="232">
        <f>C17*C18</f>
        <v>204552482.38980827</v>
      </c>
    </row>
    <row r="20" spans="2:13">
      <c r="B20" s="163" t="s">
        <v>283</v>
      </c>
      <c r="C20" s="233">
        <v>1500000</v>
      </c>
    </row>
    <row r="21" spans="2:13">
      <c r="B21" s="162" t="s">
        <v>263</v>
      </c>
      <c r="C21" s="162">
        <f>C19/C20</f>
        <v>136.36832159320551</v>
      </c>
    </row>
    <row r="25" spans="2:13" ht="15" customHeight="1">
      <c r="B25" s="238" t="s">
        <v>269</v>
      </c>
      <c r="D25" s="272" t="s">
        <v>270</v>
      </c>
      <c r="E25" s="272"/>
      <c r="F25" s="272"/>
      <c r="G25" s="272"/>
      <c r="H25" s="272"/>
      <c r="I25" s="272"/>
      <c r="J25" s="272"/>
      <c r="K25" s="272"/>
      <c r="L25" s="272"/>
      <c r="M25" s="272"/>
    </row>
    <row r="26" spans="2:13" ht="12.75" customHeight="1">
      <c r="D26" s="272"/>
      <c r="E26" s="272"/>
      <c r="F26" s="272"/>
      <c r="G26" s="272"/>
      <c r="H26" s="272"/>
      <c r="I26" s="272"/>
      <c r="J26" s="272"/>
      <c r="K26" s="272"/>
      <c r="L26" s="272"/>
      <c r="M26" s="272"/>
    </row>
    <row r="27" spans="2:13">
      <c r="C27" s="235">
        <f>C21</f>
        <v>136.36832159320551</v>
      </c>
      <c r="D27" s="255">
        <v>0.01</v>
      </c>
      <c r="E27" s="255">
        <v>0.02</v>
      </c>
      <c r="F27" s="255">
        <v>0.03</v>
      </c>
      <c r="G27" s="255">
        <v>0.04</v>
      </c>
      <c r="H27" s="255">
        <v>0.05</v>
      </c>
      <c r="I27" s="255">
        <v>0.06</v>
      </c>
      <c r="J27" s="255">
        <v>7.0000000000000007E-2</v>
      </c>
      <c r="K27" s="255">
        <v>0.08</v>
      </c>
      <c r="L27" s="255">
        <v>0.09</v>
      </c>
      <c r="M27" s="255">
        <v>0.1</v>
      </c>
    </row>
    <row r="28" spans="2:13">
      <c r="B28" s="275" t="s">
        <v>284</v>
      </c>
      <c r="C28" s="256">
        <v>0.1</v>
      </c>
      <c r="D28" s="182">
        <f t="dataTable" ref="D28:M39" dt2D="1" dtr="1" r1="C4" r2="C3"/>
        <v>514.79804435439189</v>
      </c>
      <c r="E28" s="182">
        <v>503.8626504745705</v>
      </c>
      <c r="F28" s="182">
        <v>492.94820663275578</v>
      </c>
      <c r="G28" s="182">
        <v>482.05471282894803</v>
      </c>
      <c r="H28" s="182">
        <v>471.18216906314717</v>
      </c>
      <c r="I28" s="182">
        <v>460.33057533535305</v>
      </c>
      <c r="J28" s="182">
        <v>449.49993164556537</v>
      </c>
      <c r="K28" s="182">
        <v>438.69023799378476</v>
      </c>
      <c r="L28" s="182">
        <v>427.901494380011</v>
      </c>
      <c r="M28" s="182">
        <v>417.13370080424443</v>
      </c>
    </row>
    <row r="29" spans="2:13">
      <c r="B29" s="275"/>
      <c r="C29" s="256">
        <v>0.12</v>
      </c>
      <c r="D29" s="182">
        <v>401.69772396005931</v>
      </c>
      <c r="E29" s="182">
        <v>393.2198984743639</v>
      </c>
      <c r="F29" s="182">
        <v>384.76140044469389</v>
      </c>
      <c r="G29" s="182">
        <v>376.32222987104922</v>
      </c>
      <c r="H29" s="182">
        <v>367.90238675343011</v>
      </c>
      <c r="I29" s="182">
        <v>359.50187109183639</v>
      </c>
      <c r="J29" s="182">
        <v>351.12068288626779</v>
      </c>
      <c r="K29" s="182">
        <v>342.7588221367248</v>
      </c>
      <c r="L29" s="182">
        <v>334.41628884320727</v>
      </c>
      <c r="M29" s="182">
        <v>326.09308300571524</v>
      </c>
    </row>
    <row r="30" spans="2:13">
      <c r="B30" s="275"/>
      <c r="C30" s="256">
        <v>0.14000000000000001</v>
      </c>
      <c r="D30" s="182">
        <v>323.03800787768245</v>
      </c>
      <c r="E30" s="182">
        <v>316.26794685748592</v>
      </c>
      <c r="F30" s="182">
        <v>309.51574324699817</v>
      </c>
      <c r="G30" s="182">
        <v>302.78139704621924</v>
      </c>
      <c r="H30" s="182">
        <v>296.06490825514931</v>
      </c>
      <c r="I30" s="182">
        <v>289.36627687378802</v>
      </c>
      <c r="J30" s="182">
        <v>282.68550290213528</v>
      </c>
      <c r="K30" s="182">
        <v>276.02258634019159</v>
      </c>
      <c r="L30" s="182">
        <v>269.37752718795673</v>
      </c>
      <c r="M30" s="182">
        <v>262.75032544543075</v>
      </c>
    </row>
    <row r="31" spans="2:13">
      <c r="B31" s="275"/>
      <c r="C31" s="256">
        <v>0.16</v>
      </c>
      <c r="D31" s="182">
        <v>265.70233570674753</v>
      </c>
      <c r="E31" s="182">
        <v>260.17575805154826</v>
      </c>
      <c r="F31" s="182">
        <v>254.66570354276428</v>
      </c>
      <c r="G31" s="182">
        <v>249.17217218039556</v>
      </c>
      <c r="H31" s="182">
        <v>243.69516396444229</v>
      </c>
      <c r="I31" s="182">
        <v>238.23467889490425</v>
      </c>
      <c r="J31" s="182">
        <v>232.79071697178122</v>
      </c>
      <c r="K31" s="182">
        <v>227.36327819507372</v>
      </c>
      <c r="L31" s="182">
        <v>221.95236256478142</v>
      </c>
      <c r="M31" s="182">
        <v>216.55797008090465</v>
      </c>
    </row>
    <row r="32" spans="2:13">
      <c r="B32" s="275"/>
      <c r="C32" s="256">
        <v>0.18</v>
      </c>
      <c r="D32" s="182">
        <v>222.42592134484451</v>
      </c>
      <c r="E32" s="182">
        <v>217.83670568447519</v>
      </c>
      <c r="F32" s="182">
        <v>213.2628000316011</v>
      </c>
      <c r="G32" s="182">
        <v>208.70420438622244</v>
      </c>
      <c r="H32" s="182">
        <v>204.16091874833921</v>
      </c>
      <c r="I32" s="182">
        <v>199.63294311795116</v>
      </c>
      <c r="J32" s="182">
        <v>195.1202774950583</v>
      </c>
      <c r="K32" s="182">
        <v>190.62292187966085</v>
      </c>
      <c r="L32" s="182">
        <v>186.1408762717588</v>
      </c>
      <c r="M32" s="182">
        <v>181.67414067135212</v>
      </c>
    </row>
    <row r="33" spans="2:13">
      <c r="B33" s="275"/>
      <c r="C33" s="256">
        <v>0.2</v>
      </c>
      <c r="D33" s="182">
        <v>188.86709179802415</v>
      </c>
      <c r="E33" s="182">
        <v>185.00365142487433</v>
      </c>
      <c r="F33" s="182">
        <v>181.15441618775094</v>
      </c>
      <c r="G33" s="182">
        <v>177.31938608665416</v>
      </c>
      <c r="H33" s="182">
        <v>173.49856112158395</v>
      </c>
      <c r="I33" s="182">
        <v>169.69194129254018</v>
      </c>
      <c r="J33" s="182">
        <v>165.89952659952283</v>
      </c>
      <c r="K33" s="182">
        <v>162.1213170425321</v>
      </c>
      <c r="L33" s="182">
        <v>158.35731262156793</v>
      </c>
      <c r="M33" s="182">
        <v>154.60751333663035</v>
      </c>
    </row>
    <row r="34" spans="2:13">
      <c r="B34" s="275"/>
      <c r="C34" s="256">
        <v>0.22</v>
      </c>
      <c r="D34" s="182">
        <v>162.27646367198372</v>
      </c>
      <c r="E34" s="182">
        <v>158.98708561807422</v>
      </c>
      <c r="F34" s="182">
        <v>155.7109047936091</v>
      </c>
      <c r="G34" s="182">
        <v>152.4479211985884</v>
      </c>
      <c r="H34" s="182">
        <v>149.19813483301212</v>
      </c>
      <c r="I34" s="182">
        <v>145.96154569688014</v>
      </c>
      <c r="J34" s="182">
        <v>142.73815379019246</v>
      </c>
      <c r="K34" s="182">
        <v>139.52795911294925</v>
      </c>
      <c r="L34" s="182">
        <v>136.33096166515043</v>
      </c>
      <c r="M34" s="182">
        <v>133.14716144679605</v>
      </c>
    </row>
    <row r="35" spans="2:13">
      <c r="B35" s="275"/>
      <c r="C35" s="256">
        <v>0.23569000000000001</v>
      </c>
      <c r="D35" s="182">
        <v>145.08778713767128</v>
      </c>
      <c r="E35" s="182">
        <v>142.16883073548988</v>
      </c>
      <c r="F35" s="182">
        <v>139.26234222066793</v>
      </c>
      <c r="G35" s="182">
        <v>136.36832159320551</v>
      </c>
      <c r="H35" s="182">
        <v>133.48676885310266</v>
      </c>
      <c r="I35" s="236">
        <v>130.6176840003593</v>
      </c>
      <c r="J35" s="182">
        <v>127.76106703497538</v>
      </c>
      <c r="K35" s="182">
        <v>124.91691795695104</v>
      </c>
      <c r="L35" s="182">
        <v>122.08523676628622</v>
      </c>
      <c r="M35" s="182">
        <v>119.26602346298097</v>
      </c>
    </row>
    <row r="36" spans="2:13">
      <c r="B36" s="275"/>
      <c r="C36" s="256">
        <v>0.26</v>
      </c>
      <c r="D36" s="237">
        <v>123.28022964637815</v>
      </c>
      <c r="E36" s="237">
        <v>120.83019886657151</v>
      </c>
      <c r="F36" s="237">
        <v>118.3916017306065</v>
      </c>
      <c r="G36" s="237">
        <v>115.9644382384831</v>
      </c>
      <c r="H36" s="237">
        <v>113.54870839020137</v>
      </c>
      <c r="I36" s="237">
        <v>111.14441218576117</v>
      </c>
      <c r="J36" s="237">
        <v>108.75154962516258</v>
      </c>
      <c r="K36" s="237">
        <v>106.37012070840565</v>
      </c>
      <c r="L36" s="237">
        <v>104.0001254354903</v>
      </c>
      <c r="M36" s="237">
        <v>101.64156380641666</v>
      </c>
    </row>
    <row r="37" spans="2:13">
      <c r="B37" s="275"/>
      <c r="C37" s="256">
        <v>0.28000000000000003</v>
      </c>
      <c r="D37" s="237">
        <v>108.73363978446115</v>
      </c>
      <c r="E37" s="237">
        <v>106.59553665614709</v>
      </c>
      <c r="F37" s="237">
        <v>104.46809492064656</v>
      </c>
      <c r="G37" s="237">
        <v>102.35131457795961</v>
      </c>
      <c r="H37" s="237">
        <v>100.24519562808629</v>
      </c>
      <c r="I37" s="237">
        <v>98.149738071026448</v>
      </c>
      <c r="J37" s="237">
        <v>96.06494190678012</v>
      </c>
      <c r="K37" s="237">
        <v>93.990807135347424</v>
      </c>
      <c r="L37" s="237">
        <v>91.927333756728288</v>
      </c>
      <c r="M37" s="237">
        <v>89.874521770922755</v>
      </c>
    </row>
    <row r="38" spans="2:13">
      <c r="B38" s="275"/>
      <c r="C38" s="256">
        <v>0.3</v>
      </c>
      <c r="D38" s="237">
        <v>96.546471819048875</v>
      </c>
      <c r="E38" s="237">
        <v>94.668982812134985</v>
      </c>
      <c r="F38" s="237">
        <v>92.801446484761144</v>
      </c>
      <c r="G38" s="237">
        <v>90.943862836927337</v>
      </c>
      <c r="H38" s="237">
        <v>89.096231868633666</v>
      </c>
      <c r="I38" s="237">
        <v>87.258553579879973</v>
      </c>
      <c r="J38" s="237">
        <v>85.430827970666343</v>
      </c>
      <c r="K38" s="237">
        <v>83.613055040992791</v>
      </c>
      <c r="L38" s="237">
        <v>81.805234790859316</v>
      </c>
      <c r="M38" s="237">
        <v>80.007367220265934</v>
      </c>
    </row>
    <row r="39" spans="2:13">
      <c r="B39" s="275"/>
      <c r="C39" s="256">
        <v>0.32</v>
      </c>
      <c r="D39" s="182">
        <v>86.239157466148612</v>
      </c>
      <c r="E39" s="182">
        <v>84.581420425217217</v>
      </c>
      <c r="F39" s="182">
        <v>82.932984761879226</v>
      </c>
      <c r="G39" s="182">
        <v>81.293850476134651</v>
      </c>
      <c r="H39" s="182">
        <v>79.664017567983535</v>
      </c>
      <c r="I39" s="182">
        <v>78.04348603742578</v>
      </c>
      <c r="J39" s="182">
        <v>76.432255884461426</v>
      </c>
      <c r="K39" s="182">
        <v>74.830327109090518</v>
      </c>
      <c r="L39" s="182">
        <v>73.237699711313013</v>
      </c>
      <c r="M39" s="182">
        <v>71.654373691128953</v>
      </c>
    </row>
  </sheetData>
  <mergeCells count="3">
    <mergeCell ref="C7:L7"/>
    <mergeCell ref="B28:B39"/>
    <mergeCell ref="D25:M2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59C2C-28AC-437D-8C56-108CB6FA56E8}">
  <dimension ref="B1:C10"/>
  <sheetViews>
    <sheetView workbookViewId="0">
      <selection activeCell="F15" sqref="F15"/>
    </sheetView>
  </sheetViews>
  <sheetFormatPr defaultRowHeight="12"/>
  <cols>
    <col min="1" max="1" width="2" style="1" customWidth="1"/>
    <col min="2" max="2" width="22.85546875" style="1" bestFit="1" customWidth="1"/>
    <col min="3" max="3" width="11.7109375" style="1" customWidth="1"/>
    <col min="4" max="17" width="9.140625" style="1" customWidth="1"/>
    <col min="18" max="16384" width="9.140625" style="1"/>
  </cols>
  <sheetData>
    <row r="1" spans="2:3" ht="15.75">
      <c r="B1" s="2" t="s">
        <v>285</v>
      </c>
    </row>
    <row r="3" spans="2:3" ht="12.75">
      <c r="B3" s="259" t="s">
        <v>286</v>
      </c>
      <c r="C3" s="260" t="str">
        <f>IF(C10&gt;C5,"Buy","Sell")</f>
        <v>Buy</v>
      </c>
    </row>
    <row r="5" spans="2:3">
      <c r="B5" s="6" t="s">
        <v>287</v>
      </c>
      <c r="C5" s="6">
        <f>Drivers!C10</f>
        <v>70.73</v>
      </c>
    </row>
    <row r="7" spans="2:3">
      <c r="B7" s="1" t="s">
        <v>288</v>
      </c>
    </row>
    <row r="8" spans="2:3">
      <c r="B8" s="261" t="s">
        <v>9</v>
      </c>
      <c r="C8" s="262">
        <f>'DCF Valuation'!F48</f>
        <v>90.785860904130146</v>
      </c>
    </row>
    <row r="9" spans="2:3">
      <c r="B9" s="263" t="s">
        <v>11</v>
      </c>
      <c r="C9" s="264">
        <f>'Dividends Based Valuation'!C21</f>
        <v>136.36832159320551</v>
      </c>
    </row>
    <row r="10" spans="2:3">
      <c r="B10" s="265" t="s">
        <v>289</v>
      </c>
      <c r="C10" s="266">
        <f>AVERAGE(C8:C9)</f>
        <v>113.57709124866783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4F52B-6733-4008-B4FE-B6E60E5D4E27}">
  <dimension ref="B1:M29"/>
  <sheetViews>
    <sheetView workbookViewId="0">
      <selection activeCell="J13" sqref="J13"/>
    </sheetView>
  </sheetViews>
  <sheetFormatPr defaultRowHeight="12"/>
  <cols>
    <col min="1" max="1" width="2" style="1" customWidth="1"/>
    <col min="2" max="2" width="38.42578125" style="1" bestFit="1" customWidth="1"/>
    <col min="3" max="3" width="11.85546875" style="28" bestFit="1" customWidth="1"/>
    <col min="4" max="4" width="10" style="28" bestFit="1" customWidth="1"/>
    <col min="5" max="5" width="12.7109375" style="28" bestFit="1" customWidth="1"/>
    <col min="6" max="6" width="15.28515625" style="28" bestFit="1" customWidth="1"/>
    <col min="7" max="7" width="11.140625" style="28" bestFit="1" customWidth="1"/>
    <col min="8" max="8" width="9.140625" style="1"/>
    <col min="9" max="9" width="14.5703125" style="20" bestFit="1" customWidth="1"/>
    <col min="10" max="10" width="13.5703125" style="20" bestFit="1" customWidth="1"/>
    <col min="11" max="11" width="10" style="20" bestFit="1" customWidth="1"/>
    <col min="12" max="13" width="14.5703125" style="20" bestFit="1" customWidth="1"/>
    <col min="14" max="16384" width="9.140625" style="1"/>
  </cols>
  <sheetData>
    <row r="1" spans="2:8" ht="15.75">
      <c r="B1" s="41" t="s">
        <v>39</v>
      </c>
    </row>
    <row r="2" spans="2:8">
      <c r="B2" s="6" t="s">
        <v>3</v>
      </c>
    </row>
    <row r="3" spans="2:8">
      <c r="B3" s="27" t="s">
        <v>100</v>
      </c>
    </row>
    <row r="4" spans="2:8" ht="15" customHeight="1">
      <c r="C4" s="276" t="s">
        <v>290</v>
      </c>
      <c r="D4" s="277" t="s">
        <v>291</v>
      </c>
      <c r="E4" s="277"/>
      <c r="F4" s="29" t="s">
        <v>292</v>
      </c>
      <c r="G4" s="277" t="s">
        <v>293</v>
      </c>
    </row>
    <row r="5" spans="2:8" ht="48">
      <c r="C5" s="276"/>
      <c r="D5" s="19" t="s">
        <v>294</v>
      </c>
      <c r="E5" s="19" t="s">
        <v>295</v>
      </c>
      <c r="F5" s="19" t="s">
        <v>296</v>
      </c>
      <c r="G5" s="277"/>
    </row>
    <row r="6" spans="2:8" ht="12.75" thickBot="1">
      <c r="B6" s="18"/>
      <c r="C6" s="278" t="s">
        <v>297</v>
      </c>
      <c r="D6" s="278"/>
      <c r="E6" s="278"/>
      <c r="F6" s="278"/>
      <c r="G6" s="278"/>
    </row>
    <row r="7" spans="2:8">
      <c r="C7" s="30"/>
      <c r="D7" s="30"/>
      <c r="E7" s="30"/>
      <c r="F7" s="30"/>
      <c r="G7" s="30"/>
      <c r="H7" s="20"/>
    </row>
    <row r="8" spans="2:8">
      <c r="B8" s="6" t="s">
        <v>298</v>
      </c>
      <c r="C8" s="9">
        <v>8721975</v>
      </c>
      <c r="D8" s="9">
        <v>3791602</v>
      </c>
      <c r="E8" s="9">
        <v>0</v>
      </c>
      <c r="F8" s="9">
        <v>8001035</v>
      </c>
      <c r="G8" s="9">
        <f>SUM(C8:F8)</f>
        <v>20514612</v>
      </c>
      <c r="H8" s="20"/>
    </row>
    <row r="9" spans="2:8">
      <c r="C9" s="3"/>
      <c r="D9" s="3"/>
      <c r="E9" s="3"/>
      <c r="F9" s="3"/>
      <c r="G9" s="3"/>
      <c r="H9" s="20"/>
    </row>
    <row r="10" spans="2:8">
      <c r="B10" s="1" t="s">
        <v>90</v>
      </c>
      <c r="C10" s="3">
        <v>0</v>
      </c>
      <c r="D10" s="3">
        <v>0</v>
      </c>
      <c r="E10" s="3">
        <v>0</v>
      </c>
      <c r="F10" s="3">
        <v>12359496</v>
      </c>
      <c r="G10" s="3">
        <f t="shared" ref="G10:G17" si="0">SUM(C10:F10)</f>
        <v>12359496</v>
      </c>
      <c r="H10" s="20"/>
    </row>
    <row r="11" spans="2:8">
      <c r="B11" s="25" t="s">
        <v>299</v>
      </c>
      <c r="C11" s="26">
        <v>0</v>
      </c>
      <c r="D11" s="26">
        <v>0</v>
      </c>
      <c r="E11" s="26">
        <v>0</v>
      </c>
      <c r="F11" s="26">
        <v>-263121</v>
      </c>
      <c r="G11" s="26">
        <f t="shared" si="0"/>
        <v>-263121</v>
      </c>
      <c r="H11" s="20"/>
    </row>
    <row r="12" spans="2:8">
      <c r="B12" s="6" t="s">
        <v>98</v>
      </c>
      <c r="C12" s="9">
        <v>0</v>
      </c>
      <c r="D12" s="9">
        <v>0</v>
      </c>
      <c r="E12" s="9">
        <v>0</v>
      </c>
      <c r="F12" s="9">
        <f>SUM(F10:F11)</f>
        <v>12096375</v>
      </c>
      <c r="G12" s="9">
        <f>SUM(C12:F12)</f>
        <v>12096375</v>
      </c>
      <c r="H12" s="20"/>
    </row>
    <row r="13" spans="2:8">
      <c r="B13" s="1" t="s">
        <v>220</v>
      </c>
      <c r="C13" s="3">
        <v>0</v>
      </c>
      <c r="D13" s="3">
        <v>-1793</v>
      </c>
      <c r="E13" s="3">
        <v>0</v>
      </c>
      <c r="F13" s="3">
        <v>0</v>
      </c>
      <c r="G13" s="3">
        <f t="shared" si="0"/>
        <v>-1793</v>
      </c>
      <c r="H13" s="20"/>
    </row>
    <row r="14" spans="2:8">
      <c r="B14" s="6" t="s">
        <v>300</v>
      </c>
      <c r="C14" s="3"/>
      <c r="D14" s="3"/>
      <c r="E14" s="3"/>
      <c r="F14" s="3"/>
      <c r="G14" s="3"/>
      <c r="H14" s="20"/>
    </row>
    <row r="15" spans="2:8">
      <c r="B15" s="1" t="s">
        <v>301</v>
      </c>
      <c r="C15" s="3">
        <v>261660</v>
      </c>
      <c r="D15" s="3">
        <v>-261660</v>
      </c>
      <c r="E15" s="3">
        <v>0</v>
      </c>
      <c r="F15" s="3">
        <v>0</v>
      </c>
      <c r="G15" s="3">
        <f t="shared" si="0"/>
        <v>0</v>
      </c>
      <c r="H15" s="20"/>
    </row>
    <row r="16" spans="2:8" ht="24">
      <c r="B16" s="10" t="s">
        <v>302</v>
      </c>
      <c r="C16" s="3">
        <v>0</v>
      </c>
      <c r="D16" s="3">
        <v>0</v>
      </c>
      <c r="E16" s="3">
        <v>0</v>
      </c>
      <c r="F16" s="3">
        <v>-872197</v>
      </c>
      <c r="G16" s="3">
        <f t="shared" si="0"/>
        <v>-872197</v>
      </c>
      <c r="H16" s="20"/>
    </row>
    <row r="17" spans="2:13" ht="24">
      <c r="B17" s="10" t="s">
        <v>303</v>
      </c>
      <c r="C17" s="3">
        <v>0</v>
      </c>
      <c r="D17" s="3">
        <v>0</v>
      </c>
      <c r="E17" s="3">
        <v>0</v>
      </c>
      <c r="F17" s="3">
        <v>-1796727</v>
      </c>
      <c r="G17" s="3">
        <f t="shared" si="0"/>
        <v>-1796727</v>
      </c>
      <c r="H17" s="20"/>
    </row>
    <row r="18" spans="2:13" ht="12.75" thickBot="1">
      <c r="B18" s="7" t="s">
        <v>304</v>
      </c>
      <c r="C18" s="8">
        <f>SUM(C8:C17)</f>
        <v>8983635</v>
      </c>
      <c r="D18" s="8">
        <f>SUM(D8:D17)</f>
        <v>3528149</v>
      </c>
      <c r="E18" s="8">
        <f>SUM(E8:E17)</f>
        <v>0</v>
      </c>
      <c r="F18" s="8">
        <f>SUM(F8,F12:F17)</f>
        <v>17428486</v>
      </c>
      <c r="G18" s="8">
        <f>SUM(G8,G12:G17)</f>
        <v>29940270</v>
      </c>
      <c r="H18" s="20"/>
    </row>
    <row r="19" spans="2:13">
      <c r="B19" s="6"/>
      <c r="C19" s="9"/>
      <c r="D19" s="9"/>
      <c r="E19" s="9"/>
      <c r="F19" s="9"/>
      <c r="G19" s="9"/>
      <c r="H19" s="20"/>
    </row>
    <row r="20" spans="2:13">
      <c r="B20" s="1" t="s">
        <v>90</v>
      </c>
      <c r="C20" s="3">
        <v>0</v>
      </c>
      <c r="D20" s="3">
        <v>0</v>
      </c>
      <c r="E20" s="3">
        <v>0</v>
      </c>
      <c r="F20" s="3">
        <v>20171846</v>
      </c>
      <c r="G20" s="3">
        <f>SUM(C20:F20)</f>
        <v>20171846</v>
      </c>
      <c r="H20" s="20"/>
    </row>
    <row r="21" spans="2:13">
      <c r="B21" s="25" t="s">
        <v>299</v>
      </c>
      <c r="C21" s="26">
        <v>0</v>
      </c>
      <c r="D21" s="26">
        <v>0</v>
      </c>
      <c r="E21" s="26">
        <v>0</v>
      </c>
      <c r="F21" s="26">
        <v>-1687858</v>
      </c>
      <c r="G21" s="26">
        <f t="shared" ref="G21:G28" si="1">SUM(C21:F21)</f>
        <v>-1687858</v>
      </c>
      <c r="H21" s="20"/>
    </row>
    <row r="22" spans="2:13" s="6" customFormat="1">
      <c r="B22" s="6" t="s">
        <v>98</v>
      </c>
      <c r="C22" s="9">
        <v>0</v>
      </c>
      <c r="D22" s="9">
        <v>0</v>
      </c>
      <c r="E22" s="9">
        <v>0</v>
      </c>
      <c r="F22" s="9">
        <f>SUM(F20:F21)</f>
        <v>18483988</v>
      </c>
      <c r="G22" s="9">
        <f>SUM(C22:F22)</f>
        <v>18483988</v>
      </c>
      <c r="H22" s="24"/>
      <c r="I22" s="24"/>
      <c r="J22" s="24"/>
      <c r="K22" s="24"/>
      <c r="L22" s="24"/>
      <c r="M22" s="24"/>
    </row>
    <row r="23" spans="2:13">
      <c r="B23" s="1" t="s">
        <v>220</v>
      </c>
      <c r="C23" s="3">
        <v>0</v>
      </c>
      <c r="D23" s="3">
        <v>-25199</v>
      </c>
      <c r="E23" s="3">
        <v>0</v>
      </c>
      <c r="F23" s="3">
        <v>0</v>
      </c>
      <c r="G23" s="3">
        <f t="shared" si="1"/>
        <v>-25199</v>
      </c>
      <c r="H23" s="20"/>
    </row>
    <row r="24" spans="2:13">
      <c r="B24" s="1" t="s">
        <v>305</v>
      </c>
      <c r="C24" s="3">
        <v>0</v>
      </c>
      <c r="D24" s="3">
        <v>0</v>
      </c>
      <c r="E24" s="3">
        <v>6968</v>
      </c>
      <c r="F24" s="3">
        <v>0</v>
      </c>
      <c r="G24" s="3">
        <f t="shared" si="1"/>
        <v>6968</v>
      </c>
      <c r="H24" s="20"/>
    </row>
    <row r="25" spans="2:13">
      <c r="B25" s="6" t="s">
        <v>300</v>
      </c>
      <c r="C25" s="3">
        <v>0</v>
      </c>
      <c r="D25" s="3">
        <v>0</v>
      </c>
      <c r="E25" s="3">
        <v>0</v>
      </c>
      <c r="F25" s="3">
        <v>0</v>
      </c>
      <c r="G25" s="3">
        <f t="shared" si="1"/>
        <v>0</v>
      </c>
      <c r="H25" s="20"/>
    </row>
    <row r="26" spans="2:13">
      <c r="B26" s="1" t="s">
        <v>301</v>
      </c>
      <c r="C26" s="3">
        <v>5030834</v>
      </c>
      <c r="D26" s="3">
        <v>-359345</v>
      </c>
      <c r="E26" s="3">
        <v>0</v>
      </c>
      <c r="F26" s="3">
        <v>-4671489</v>
      </c>
      <c r="G26" s="3">
        <f t="shared" si="1"/>
        <v>0</v>
      </c>
      <c r="H26" s="20"/>
    </row>
    <row r="27" spans="2:13" ht="24">
      <c r="B27" s="10" t="s">
        <v>306</v>
      </c>
      <c r="C27" s="3">
        <v>0</v>
      </c>
      <c r="D27" s="3">
        <v>0</v>
      </c>
      <c r="E27" s="3">
        <v>0</v>
      </c>
      <c r="F27" s="3">
        <v>-1796727</v>
      </c>
      <c r="G27" s="3">
        <f t="shared" si="1"/>
        <v>-1796727</v>
      </c>
      <c r="H27" s="20"/>
    </row>
    <row r="28" spans="2:13" ht="24">
      <c r="B28" s="10" t="s">
        <v>307</v>
      </c>
      <c r="C28" s="3">
        <v>0</v>
      </c>
      <c r="D28" s="3">
        <v>0</v>
      </c>
      <c r="E28" s="3">
        <v>0</v>
      </c>
      <c r="F28" s="3">
        <v>-2802894</v>
      </c>
      <c r="G28" s="3">
        <f t="shared" si="1"/>
        <v>-2802894</v>
      </c>
      <c r="H28" s="20"/>
    </row>
    <row r="29" spans="2:13" ht="12.75" thickBot="1">
      <c r="B29" s="7" t="s">
        <v>308</v>
      </c>
      <c r="C29" s="8">
        <f>SUM(C18:C28)</f>
        <v>14014469</v>
      </c>
      <c r="D29" s="8">
        <f>SUM(D18:D28)</f>
        <v>3143605</v>
      </c>
      <c r="E29" s="8">
        <f>SUM(E18:E28)</f>
        <v>6968</v>
      </c>
      <c r="F29" s="8">
        <f>SUM(F18,F22:F28)</f>
        <v>26641364</v>
      </c>
      <c r="G29" s="8">
        <f>SUM(G18,G22:G28)</f>
        <v>43806406</v>
      </c>
      <c r="H29" s="20"/>
    </row>
  </sheetData>
  <mergeCells count="4">
    <mergeCell ref="C4:C5"/>
    <mergeCell ref="D4:E4"/>
    <mergeCell ref="G4:G5"/>
    <mergeCell ref="C6:G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311A6-4E24-4CEF-9F87-E2CF42044D53}">
  <sheetPr>
    <tabColor rgb="FF002060"/>
  </sheetPr>
  <dimension ref="B14"/>
  <sheetViews>
    <sheetView topLeftCell="A4" workbookViewId="0">
      <selection activeCell="K14" sqref="K14"/>
    </sheetView>
  </sheetViews>
  <sheetFormatPr defaultColWidth="9.140625" defaultRowHeight="15"/>
  <cols>
    <col min="1" max="1" width="2" style="38" customWidth="1"/>
    <col min="2" max="16384" width="9.140625" style="38"/>
  </cols>
  <sheetData>
    <row r="14" spans="2:2" ht="50.25">
      <c r="B14" s="37" t="s">
        <v>309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81F7-9C83-4884-86C9-2DD05CA25FC0}">
  <dimension ref="B1:L23"/>
  <sheetViews>
    <sheetView tabSelected="1" topLeftCell="A21" workbookViewId="0">
      <selection activeCell="K33" sqref="K33"/>
    </sheetView>
  </sheetViews>
  <sheetFormatPr defaultRowHeight="12"/>
  <cols>
    <col min="1" max="1" width="2" style="1" customWidth="1"/>
    <col min="2" max="2" width="14.28515625" style="1" bestFit="1" customWidth="1"/>
    <col min="3" max="11" width="11.7109375" style="1" customWidth="1"/>
    <col min="12" max="12" width="13.5703125" style="1" bestFit="1" customWidth="1"/>
    <col min="13" max="16384" width="9.140625" style="1"/>
  </cols>
  <sheetData>
    <row r="1" spans="2:12" ht="15.75">
      <c r="B1" s="2" t="s">
        <v>310</v>
      </c>
    </row>
    <row r="4" spans="2:12">
      <c r="B4" s="11"/>
      <c r="C4" s="39" t="s">
        <v>62</v>
      </c>
      <c r="D4" s="39" t="s">
        <v>63</v>
      </c>
      <c r="E4" s="39" t="s">
        <v>64</v>
      </c>
      <c r="F4" s="40" t="s">
        <v>65</v>
      </c>
      <c r="G4" s="40" t="s">
        <v>66</v>
      </c>
      <c r="H4" s="39" t="s">
        <v>67</v>
      </c>
      <c r="I4" s="39" t="s">
        <v>68</v>
      </c>
      <c r="J4" s="39" t="s">
        <v>69</v>
      </c>
      <c r="K4" s="39" t="s">
        <v>70</v>
      </c>
      <c r="L4" s="39" t="s">
        <v>71</v>
      </c>
    </row>
    <row r="5" spans="2:12" ht="12.75" thickBot="1">
      <c r="B5" s="17"/>
      <c r="C5" s="270" t="s">
        <v>72</v>
      </c>
      <c r="D5" s="270"/>
      <c r="E5" s="270"/>
      <c r="F5" s="270"/>
      <c r="G5" s="270"/>
      <c r="H5" s="270"/>
      <c r="I5" s="270"/>
      <c r="J5" s="270"/>
      <c r="K5" s="270"/>
      <c r="L5" s="270"/>
    </row>
    <row r="6" spans="2:12">
      <c r="B6" s="20" t="s">
        <v>311</v>
      </c>
      <c r="C6" s="20">
        <v>33941213</v>
      </c>
      <c r="D6" s="20">
        <v>33326780</v>
      </c>
      <c r="E6" s="20">
        <v>50368323</v>
      </c>
      <c r="F6" s="20">
        <v>84230046</v>
      </c>
      <c r="G6" s="20">
        <v>112942064</v>
      </c>
      <c r="H6" s="71">
        <f t="shared" ref="H6:L7" si="0">G6*(1+H15)</f>
        <v>170335649.74792278</v>
      </c>
      <c r="I6" s="71">
        <f t="shared" si="0"/>
        <v>340671299.49584556</v>
      </c>
      <c r="J6" s="71">
        <f t="shared" si="0"/>
        <v>513789682.02753979</v>
      </c>
      <c r="K6" s="71">
        <f t="shared" si="0"/>
        <v>770684523.04130971</v>
      </c>
      <c r="L6" s="71">
        <f t="shared" si="0"/>
        <v>1156026784.5619645</v>
      </c>
    </row>
    <row r="7" spans="2:12">
      <c r="B7" s="20" t="s">
        <v>312</v>
      </c>
      <c r="C7" s="20">
        <v>3775022</v>
      </c>
      <c r="D7" s="20">
        <v>3765833</v>
      </c>
      <c r="E7" s="20">
        <v>5515410</v>
      </c>
      <c r="F7" s="20">
        <v>8114857</v>
      </c>
      <c r="G7" s="20">
        <v>7776228</v>
      </c>
      <c r="H7" s="71">
        <f t="shared" si="0"/>
        <v>7776228</v>
      </c>
      <c r="I7" s="71">
        <f t="shared" si="0"/>
        <v>7776228</v>
      </c>
      <c r="J7" s="71">
        <f t="shared" si="0"/>
        <v>7776228</v>
      </c>
      <c r="K7" s="71">
        <f t="shared" si="0"/>
        <v>7776228</v>
      </c>
      <c r="L7" s="71">
        <f t="shared" si="0"/>
        <v>7776228</v>
      </c>
    </row>
    <row r="8" spans="2:12">
      <c r="B8" s="45"/>
      <c r="C8" s="45">
        <f>SUM(C6:C7)</f>
        <v>37716235</v>
      </c>
      <c r="D8" s="45">
        <f t="shared" ref="D8:L8" si="1">SUM(D6:D7)</f>
        <v>37092613</v>
      </c>
      <c r="E8" s="45">
        <f t="shared" si="1"/>
        <v>55883733</v>
      </c>
      <c r="F8" s="45">
        <f t="shared" si="1"/>
        <v>92344903</v>
      </c>
      <c r="G8" s="45">
        <f t="shared" si="1"/>
        <v>120718292</v>
      </c>
      <c r="H8" s="65">
        <f>SUM(H6:H7)</f>
        <v>178111877.74792278</v>
      </c>
      <c r="I8" s="65">
        <f t="shared" si="1"/>
        <v>348447527.49584556</v>
      </c>
      <c r="J8" s="65">
        <f t="shared" si="1"/>
        <v>521565910.02753979</v>
      </c>
      <c r="K8" s="65">
        <f t="shared" si="1"/>
        <v>778460751.04130971</v>
      </c>
      <c r="L8" s="65">
        <f t="shared" si="1"/>
        <v>1163803012.5619645</v>
      </c>
    </row>
    <row r="9" spans="2:12">
      <c r="B9" s="20" t="s">
        <v>313</v>
      </c>
      <c r="C9" s="20"/>
      <c r="D9" s="20"/>
      <c r="E9" s="20"/>
      <c r="F9" s="20"/>
      <c r="G9" s="20"/>
      <c r="H9" s="64"/>
      <c r="I9" s="64"/>
      <c r="J9" s="64"/>
      <c r="K9" s="64"/>
      <c r="L9" s="64"/>
    </row>
    <row r="10" spans="2:12">
      <c r="B10" s="20" t="s">
        <v>314</v>
      </c>
      <c r="C10" s="20">
        <v>-206792</v>
      </c>
      <c r="D10" s="20">
        <v>-246720</v>
      </c>
      <c r="E10" s="20">
        <v>-113523</v>
      </c>
      <c r="F10" s="20">
        <v>-283818</v>
      </c>
      <c r="G10" s="20">
        <v>-377444</v>
      </c>
      <c r="H10" s="64">
        <f t="shared" ref="H10:L11" si="2">G10*(1+H17)</f>
        <v>-378981.39118605346</v>
      </c>
      <c r="I10" s="64">
        <f t="shared" si="2"/>
        <v>-380525.04441802355</v>
      </c>
      <c r="J10" s="64">
        <f t="shared" si="2"/>
        <v>-382074.98520224815</v>
      </c>
      <c r="K10" s="64">
        <f t="shared" si="2"/>
        <v>-383631.23914895661</v>
      </c>
      <c r="L10" s="64">
        <f t="shared" si="2"/>
        <v>-385193.83197269303</v>
      </c>
    </row>
    <row r="11" spans="2:12">
      <c r="B11" s="20" t="s">
        <v>315</v>
      </c>
      <c r="C11" s="20">
        <v>-31122</v>
      </c>
      <c r="D11" s="20">
        <v>-543099</v>
      </c>
      <c r="E11" s="20">
        <v>-807945</v>
      </c>
      <c r="F11" s="20">
        <v>-1167036</v>
      </c>
      <c r="G11" s="20">
        <v>-1140555</v>
      </c>
      <c r="H11" s="64">
        <f t="shared" si="2"/>
        <v>-1152419.1299713135</v>
      </c>
      <c r="I11" s="64">
        <f t="shared" si="2"/>
        <v>-1181229.6082205963</v>
      </c>
      <c r="J11" s="64">
        <f t="shared" si="2"/>
        <v>-1209579.1188178908</v>
      </c>
      <c r="K11" s="64">
        <f t="shared" si="2"/>
        <v>-1238609.0176695201</v>
      </c>
      <c r="L11" s="64">
        <f t="shared" si="2"/>
        <v>-1268335.6340935887</v>
      </c>
    </row>
    <row r="12" spans="2:12">
      <c r="B12" s="47"/>
      <c r="C12" s="47">
        <f>SUM(C10:C11)</f>
        <v>-237914</v>
      </c>
      <c r="D12" s="47">
        <f t="shared" ref="D12:L12" si="3">SUM(D10:D11)</f>
        <v>-789819</v>
      </c>
      <c r="E12" s="47">
        <f t="shared" si="3"/>
        <v>-921468</v>
      </c>
      <c r="F12" s="47">
        <f t="shared" si="3"/>
        <v>-1450854</v>
      </c>
      <c r="G12" s="47">
        <f t="shared" si="3"/>
        <v>-1517999</v>
      </c>
      <c r="H12" s="81">
        <f>SUM(H10:H11)</f>
        <v>-1531400.5211573669</v>
      </c>
      <c r="I12" s="81">
        <f t="shared" si="3"/>
        <v>-1561754.6526386198</v>
      </c>
      <c r="J12" s="81">
        <f t="shared" si="3"/>
        <v>-1591654.104020139</v>
      </c>
      <c r="K12" s="81">
        <f t="shared" si="3"/>
        <v>-1622240.2568184766</v>
      </c>
      <c r="L12" s="81">
        <f t="shared" si="3"/>
        <v>-1653529.4660662818</v>
      </c>
    </row>
    <row r="13" spans="2:12" s="6" customFormat="1" ht="12.75" thickBot="1">
      <c r="B13" s="46"/>
      <c r="C13" s="46">
        <f>'Income Statement'!C7</f>
        <v>37478321</v>
      </c>
      <c r="D13" s="46">
        <f>'Income Statement'!D7</f>
        <v>36302794</v>
      </c>
      <c r="E13" s="46">
        <f>'Income Statement'!E7</f>
        <v>54962265</v>
      </c>
      <c r="F13" s="46">
        <f>'Income Statement'!F7</f>
        <v>90894049</v>
      </c>
      <c r="G13" s="46">
        <f>'Income Statement'!G7</f>
        <v>119200293</v>
      </c>
      <c r="H13" s="72">
        <f>SUM(H8,H12)</f>
        <v>176580477.22676542</v>
      </c>
      <c r="I13" s="72">
        <f t="shared" ref="D13:K13" si="4">SUM(I8,I12)</f>
        <v>346885772.84320694</v>
      </c>
      <c r="J13" s="72">
        <f t="shared" si="4"/>
        <v>519974255.92351967</v>
      </c>
      <c r="K13" s="72">
        <f t="shared" si="4"/>
        <v>776838510.78449118</v>
      </c>
      <c r="L13" s="72">
        <f>SUM(L8,L12)</f>
        <v>1162149483.0958982</v>
      </c>
    </row>
    <row r="15" spans="2:12" s="48" customFormat="1">
      <c r="B15" s="185" t="s">
        <v>311</v>
      </c>
      <c r="C15" s="186"/>
      <c r="D15" s="186">
        <f t="shared" ref="D15:G16" si="5">D6/C6-1</f>
        <v>-1.810285919952237E-2</v>
      </c>
      <c r="E15" s="186">
        <f t="shared" si="5"/>
        <v>0.51134682078496629</v>
      </c>
      <c r="F15" s="186">
        <f t="shared" si="5"/>
        <v>0.6722821206495202</v>
      </c>
      <c r="G15" s="186">
        <f t="shared" si="5"/>
        <v>0.34087619992514306</v>
      </c>
      <c r="H15" s="186">
        <f>AVERAGE($E$15:$G$15)</f>
        <v>0.50816838045320989</v>
      </c>
      <c r="I15" s="186">
        <v>1</v>
      </c>
      <c r="J15" s="186">
        <f t="shared" ref="J15" si="6">AVERAGE($E$15:$G$15)</f>
        <v>0.50816838045320989</v>
      </c>
      <c r="K15" s="186">
        <v>0.5</v>
      </c>
      <c r="L15" s="186">
        <v>0.5</v>
      </c>
    </row>
    <row r="16" spans="2:12" s="48" customFormat="1">
      <c r="B16" s="185" t="s">
        <v>312</v>
      </c>
      <c r="C16" s="186"/>
      <c r="D16" s="186">
        <f t="shared" si="5"/>
        <v>-2.434157999608999E-3</v>
      </c>
      <c r="E16" s="186">
        <f t="shared" si="5"/>
        <v>0.46459229604711627</v>
      </c>
      <c r="F16" s="186">
        <f t="shared" si="5"/>
        <v>0.47130621295606301</v>
      </c>
      <c r="G16" s="186">
        <f>G7/F7-1</f>
        <v>-4.1729509219940675E-2</v>
      </c>
      <c r="H16" s="186">
        <v>0</v>
      </c>
      <c r="I16" s="186">
        <v>0</v>
      </c>
      <c r="J16" s="186">
        <v>0</v>
      </c>
      <c r="K16" s="186">
        <v>0</v>
      </c>
      <c r="L16" s="186">
        <v>0</v>
      </c>
    </row>
    <row r="17" spans="2:12" s="48" customFormat="1">
      <c r="B17" s="185" t="s">
        <v>314</v>
      </c>
      <c r="C17" s="186">
        <f t="shared" ref="C17:G18" si="7">-C10/C$8</f>
        <v>5.4828378283251229E-3</v>
      </c>
      <c r="D17" s="186">
        <f t="shared" si="7"/>
        <v>6.6514591463265205E-3</v>
      </c>
      <c r="E17" s="186">
        <f t="shared" si="7"/>
        <v>2.0314140431527722E-3</v>
      </c>
      <c r="F17" s="186">
        <f t="shared" si="7"/>
        <v>3.0734560412067355E-3</v>
      </c>
      <c r="G17" s="186">
        <f t="shared" si="7"/>
        <v>3.1266512617656983E-3</v>
      </c>
      <c r="H17" s="186">
        <f>AVERAGE($C$17:$G$17)</f>
        <v>4.073163664155369E-3</v>
      </c>
      <c r="I17" s="186">
        <f t="shared" ref="I17:L17" si="8">AVERAGE($C$17:$G$17)</f>
        <v>4.073163664155369E-3</v>
      </c>
      <c r="J17" s="186">
        <f t="shared" si="8"/>
        <v>4.073163664155369E-3</v>
      </c>
      <c r="K17" s="186">
        <f t="shared" si="8"/>
        <v>4.073163664155369E-3</v>
      </c>
      <c r="L17" s="186">
        <f t="shared" si="8"/>
        <v>4.073163664155369E-3</v>
      </c>
    </row>
    <row r="18" spans="2:12" s="48" customFormat="1">
      <c r="B18" s="185" t="s">
        <v>315</v>
      </c>
      <c r="C18" s="186">
        <f t="shared" si="7"/>
        <v>8.2516189646182874E-4</v>
      </c>
      <c r="D18" s="186">
        <f t="shared" si="7"/>
        <v>1.4641702378853708E-2</v>
      </c>
      <c r="E18" s="186">
        <f t="shared" si="7"/>
        <v>1.4457606115897805E-2</v>
      </c>
      <c r="F18" s="186">
        <f t="shared" si="7"/>
        <v>1.2637795504533693E-2</v>
      </c>
      <c r="G18" s="186">
        <f t="shared" si="7"/>
        <v>9.448071051237206E-3</v>
      </c>
      <c r="H18" s="186">
        <f>AVERAGE($C$18:$G$18)</f>
        <v>1.0402067389396847E-2</v>
      </c>
      <c r="I18" s="186">
        <v>2.5000000000000001E-2</v>
      </c>
      <c r="J18" s="186">
        <v>2.4E-2</v>
      </c>
      <c r="K18" s="186">
        <v>2.4E-2</v>
      </c>
      <c r="L18" s="186">
        <v>2.4E-2</v>
      </c>
    </row>
    <row r="19" spans="2:12" s="48" customFormat="1"/>
    <row r="23" spans="2:12" ht="15">
      <c r="C23"/>
    </row>
  </sheetData>
  <mergeCells count="1">
    <mergeCell ref="C5:L5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32D25-67C3-4FF2-9A10-DFABE35D7019}">
  <dimension ref="B1:L14"/>
  <sheetViews>
    <sheetView workbookViewId="0">
      <selection activeCell="F18" sqref="F18"/>
    </sheetView>
  </sheetViews>
  <sheetFormatPr defaultRowHeight="12"/>
  <cols>
    <col min="1" max="1" width="2" style="1" customWidth="1"/>
    <col min="2" max="2" width="16.7109375" style="1" customWidth="1"/>
    <col min="3" max="7" width="11.7109375" style="1" customWidth="1"/>
    <col min="8" max="11" width="12.5703125" style="1" bestFit="1" customWidth="1"/>
    <col min="12" max="12" width="14.140625" style="1" bestFit="1" customWidth="1"/>
    <col min="13" max="16384" width="9.140625" style="1"/>
  </cols>
  <sheetData>
    <row r="1" spans="2:12" ht="15.75">
      <c r="B1" s="2" t="s">
        <v>76</v>
      </c>
    </row>
    <row r="4" spans="2:12">
      <c r="B4" s="11"/>
      <c r="C4" s="39" t="s">
        <v>62</v>
      </c>
      <c r="D4" s="39" t="s">
        <v>63</v>
      </c>
      <c r="E4" s="39" t="s">
        <v>64</v>
      </c>
      <c r="F4" s="40" t="s">
        <v>65</v>
      </c>
      <c r="G4" s="40" t="s">
        <v>66</v>
      </c>
      <c r="H4" s="39" t="s">
        <v>67</v>
      </c>
      <c r="I4" s="39" t="s">
        <v>68</v>
      </c>
      <c r="J4" s="39" t="s">
        <v>69</v>
      </c>
      <c r="K4" s="39" t="s">
        <v>70</v>
      </c>
      <c r="L4" s="39" t="s">
        <v>71</v>
      </c>
    </row>
    <row r="5" spans="2:12" ht="12.75" thickBot="1">
      <c r="B5" s="55"/>
      <c r="C5" s="270" t="s">
        <v>72</v>
      </c>
      <c r="D5" s="270"/>
      <c r="E5" s="270"/>
      <c r="F5" s="270"/>
      <c r="G5" s="270"/>
      <c r="H5" s="270"/>
      <c r="I5" s="270"/>
      <c r="J5" s="270"/>
      <c r="K5" s="270"/>
      <c r="L5" s="270"/>
    </row>
    <row r="6" spans="2:12">
      <c r="B6" s="53" t="s">
        <v>75</v>
      </c>
      <c r="C6" s="52">
        <v>23873326</v>
      </c>
      <c r="D6" s="52">
        <v>26426800</v>
      </c>
      <c r="E6" s="52">
        <v>38410828</v>
      </c>
      <c r="F6" s="52">
        <v>61942054</v>
      </c>
      <c r="G6" s="52">
        <v>75955295</v>
      </c>
      <c r="H6" s="73">
        <f>G6*(1+H13)</f>
        <v>123807130.84999999</v>
      </c>
      <c r="I6" s="73">
        <f>H6*(1+I13)</f>
        <v>201186587.63124999</v>
      </c>
      <c r="J6" s="73">
        <f>I6*(1+J13)</f>
        <v>325922271.96262503</v>
      </c>
      <c r="K6" s="73">
        <f>J6*(1+K13)</f>
        <v>526364469.21963942</v>
      </c>
      <c r="L6" s="73">
        <f>K6*(1+L13)</f>
        <v>847446795.44361937</v>
      </c>
    </row>
    <row r="7" spans="2:12">
      <c r="B7" s="60" t="s">
        <v>159</v>
      </c>
      <c r="C7" s="61">
        <v>1641234</v>
      </c>
      <c r="D7" s="61">
        <v>1980510</v>
      </c>
      <c r="E7" s="61">
        <v>2279613</v>
      </c>
      <c r="F7" s="61">
        <v>2774273</v>
      </c>
      <c r="G7" s="61">
        <v>3213744</v>
      </c>
      <c r="H7" s="74"/>
      <c r="I7" s="74"/>
      <c r="J7" s="74"/>
      <c r="K7" s="74"/>
      <c r="L7" s="75"/>
    </row>
    <row r="8" spans="2:12">
      <c r="B8" s="62" t="s">
        <v>160</v>
      </c>
      <c r="C8" s="52">
        <v>9047</v>
      </c>
      <c r="D8" s="52">
        <v>14931</v>
      </c>
      <c r="E8" s="52">
        <v>18329</v>
      </c>
      <c r="F8" s="52">
        <v>47630</v>
      </c>
      <c r="G8" s="52">
        <v>62205</v>
      </c>
      <c r="H8" s="76"/>
      <c r="I8" s="76"/>
      <c r="J8" s="76"/>
      <c r="K8" s="76"/>
      <c r="L8" s="77"/>
    </row>
    <row r="9" spans="2:12">
      <c r="B9" s="58" t="s">
        <v>161</v>
      </c>
      <c r="C9" s="59">
        <v>0</v>
      </c>
      <c r="D9" s="59">
        <v>16835</v>
      </c>
      <c r="E9" s="59">
        <v>41215</v>
      </c>
      <c r="F9" s="59">
        <v>63923</v>
      </c>
      <c r="G9" s="59">
        <v>96677</v>
      </c>
      <c r="H9" s="78"/>
      <c r="I9" s="78"/>
      <c r="J9" s="78"/>
      <c r="K9" s="78"/>
      <c r="L9" s="79"/>
    </row>
    <row r="10" spans="2:12">
      <c r="B10" s="53" t="s">
        <v>231</v>
      </c>
      <c r="C10" s="52">
        <f>SUM(C7:C9)</f>
        <v>1650281</v>
      </c>
      <c r="D10" s="52">
        <f>SUM(D7:D9)</f>
        <v>2012276</v>
      </c>
      <c r="E10" s="52">
        <f>SUM(E7:E9)</f>
        <v>2339157</v>
      </c>
      <c r="F10" s="52">
        <f>SUM(F7:F9)</f>
        <v>2885826</v>
      </c>
      <c r="G10" s="52">
        <f>SUM(G7:G9)</f>
        <v>3372626</v>
      </c>
      <c r="H10" s="73">
        <f>-PPE!H11</f>
        <v>6183601.3788842261</v>
      </c>
      <c r="I10" s="73">
        <f>-PPE!I11</f>
        <v>8154484.7175659947</v>
      </c>
      <c r="J10" s="73">
        <f>-PPE!J11</f>
        <v>10753542.625837224</v>
      </c>
      <c r="K10" s="73">
        <f>-PPE!K11</f>
        <v>14180991.566100419</v>
      </c>
      <c r="L10" s="73">
        <f>-PPE!L11</f>
        <v>18700862.478066795</v>
      </c>
    </row>
    <row r="11" spans="2:12" s="6" customFormat="1" ht="12.75" thickBot="1">
      <c r="B11" s="7"/>
      <c r="C11" s="46">
        <f>-SUM(C6,C10)</f>
        <v>-25523607</v>
      </c>
      <c r="D11" s="46">
        <f t="shared" ref="D11:L11" si="0">-SUM(D6,D10)</f>
        <v>-28439076</v>
      </c>
      <c r="E11" s="46">
        <f t="shared" si="0"/>
        <v>-40749985</v>
      </c>
      <c r="F11" s="46">
        <f t="shared" si="0"/>
        <v>-64827880</v>
      </c>
      <c r="G11" s="46">
        <f t="shared" si="0"/>
        <v>-79327921</v>
      </c>
      <c r="H11" s="80">
        <f>-SUM(H6,H10)</f>
        <v>-129990732.22888422</v>
      </c>
      <c r="I11" s="80">
        <f>-SUM(I6,I10)</f>
        <v>-209341072.34881598</v>
      </c>
      <c r="J11" s="80">
        <f t="shared" si="0"/>
        <v>-336675814.58846223</v>
      </c>
      <c r="K11" s="80">
        <f t="shared" si="0"/>
        <v>-540545460.7857399</v>
      </c>
      <c r="L11" s="80">
        <f t="shared" si="0"/>
        <v>-866147657.92168617</v>
      </c>
    </row>
    <row r="13" spans="2:12" s="48" customFormat="1" ht="24">
      <c r="B13" s="187" t="s">
        <v>316</v>
      </c>
      <c r="C13" s="186">
        <f>C6/Sales!C13</f>
        <v>0.63699027499124095</v>
      </c>
      <c r="D13" s="186">
        <f>D6/Sales!D13</f>
        <v>0.72795498880885035</v>
      </c>
      <c r="E13" s="186">
        <f>E6/Sales!E13</f>
        <v>0.69885817114705884</v>
      </c>
      <c r="F13" s="186">
        <f>F6/Sales!F13</f>
        <v>0.68147535159314998</v>
      </c>
      <c r="G13" s="186">
        <f>G6/Sales!G13</f>
        <v>0.63720728438142349</v>
      </c>
      <c r="H13" s="186">
        <v>0.63</v>
      </c>
      <c r="I13" s="186">
        <v>0.625</v>
      </c>
      <c r="J13" s="186">
        <v>0.62</v>
      </c>
      <c r="K13" s="186">
        <v>0.61499999999999999</v>
      </c>
      <c r="L13" s="186">
        <v>0.61</v>
      </c>
    </row>
    <row r="14" spans="2:12" s="48" customFormat="1">
      <c r="B14" s="54"/>
    </row>
  </sheetData>
  <mergeCells count="1">
    <mergeCell ref="C5:L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E541A-E565-4B3D-A334-E32360D5FFD8}">
  <dimension ref="B1:L15"/>
  <sheetViews>
    <sheetView workbookViewId="0">
      <selection activeCell="G20" sqref="G20"/>
    </sheetView>
  </sheetViews>
  <sheetFormatPr defaultRowHeight="12"/>
  <cols>
    <col min="1" max="1" width="2" style="1" customWidth="1"/>
    <col min="2" max="2" width="23.5703125" style="1" bestFit="1" customWidth="1"/>
    <col min="3" max="10" width="11.7109375" style="1" customWidth="1"/>
    <col min="11" max="11" width="12.5703125" style="1" bestFit="1" customWidth="1"/>
    <col min="12" max="12" width="13.5703125" style="1" bestFit="1" customWidth="1"/>
    <col min="13" max="16384" width="9.140625" style="1"/>
  </cols>
  <sheetData>
    <row r="1" spans="2:12" ht="15.75">
      <c r="B1" s="2" t="s">
        <v>78</v>
      </c>
    </row>
    <row r="4" spans="2:12">
      <c r="B4" s="11"/>
      <c r="C4" s="39" t="s">
        <v>62</v>
      </c>
      <c r="D4" s="39" t="s">
        <v>63</v>
      </c>
      <c r="E4" s="39" t="s">
        <v>64</v>
      </c>
      <c r="F4" s="40" t="s">
        <v>65</v>
      </c>
      <c r="G4" s="40" t="s">
        <v>66</v>
      </c>
      <c r="H4" s="39" t="s">
        <v>67</v>
      </c>
      <c r="I4" s="39" t="s">
        <v>68</v>
      </c>
      <c r="J4" s="39" t="s">
        <v>69</v>
      </c>
      <c r="K4" s="39" t="s">
        <v>70</v>
      </c>
      <c r="L4" s="39" t="s">
        <v>71</v>
      </c>
    </row>
    <row r="5" spans="2:12" ht="12.75" thickBot="1">
      <c r="B5" s="17"/>
      <c r="C5" s="270" t="s">
        <v>72</v>
      </c>
      <c r="D5" s="270"/>
      <c r="E5" s="270"/>
      <c r="F5" s="270"/>
      <c r="G5" s="270"/>
      <c r="H5" s="270"/>
      <c r="I5" s="270"/>
      <c r="J5" s="270"/>
      <c r="K5" s="270"/>
      <c r="L5" s="270"/>
    </row>
    <row r="6" spans="2:12">
      <c r="B6" s="20" t="s">
        <v>79</v>
      </c>
      <c r="C6" s="20">
        <f>'Income Statement'!C12</f>
        <v>-2783719</v>
      </c>
      <c r="D6" s="20">
        <f>'Income Statement'!D12</f>
        <v>-2007264</v>
      </c>
      <c r="E6" s="20">
        <f>'Income Statement'!E12</f>
        <v>-2639632</v>
      </c>
      <c r="F6" s="20">
        <f>'Income Statement'!F12</f>
        <v>-3382031</v>
      </c>
      <c r="G6" s="20">
        <f>'Income Statement'!G12</f>
        <v>-3952564</v>
      </c>
      <c r="H6" s="64">
        <f>-Sales!H$13*H12</f>
        <v>-6968676.1051067533</v>
      </c>
      <c r="I6" s="64">
        <f>-Sales!I$13*I12</f>
        <v>-13689704.741875816</v>
      </c>
      <c r="J6" s="64">
        <f>-Sales!J$13*J12</f>
        <v>-20520570.730316576</v>
      </c>
      <c r="K6" s="64">
        <f>-Sales!K$13*K12</f>
        <v>-30657613.18947231</v>
      </c>
      <c r="L6" s="64">
        <f>-Sales!L$13*L12</f>
        <v>-45863752.667358786</v>
      </c>
    </row>
    <row r="7" spans="2:12">
      <c r="B7" s="20" t="s">
        <v>81</v>
      </c>
      <c r="C7" s="20">
        <f>'Income Statement'!C13</f>
        <v>-1984209</v>
      </c>
      <c r="D7" s="20">
        <f>'Income Statement'!D13</f>
        <v>-2197949</v>
      </c>
      <c r="E7" s="20">
        <f>'Income Statement'!E13</f>
        <v>-2796180</v>
      </c>
      <c r="F7" s="20">
        <f>'Income Statement'!F13</f>
        <v>-4681472</v>
      </c>
      <c r="G7" s="20">
        <f>'Income Statement'!G13</f>
        <v>-6245370</v>
      </c>
      <c r="H7" s="64">
        <f>-Sales!H$13*H13</f>
        <v>-9473928.0960894283</v>
      </c>
      <c r="I7" s="64">
        <f>-Sales!I$13*I13</f>
        <v>-18611178.99943481</v>
      </c>
      <c r="J7" s="64">
        <f>-Sales!J$13*J13</f>
        <v>-27897753.986193962</v>
      </c>
      <c r="K7" s="64">
        <f>-Sales!K$13*K13</f>
        <v>-41679082.019888788</v>
      </c>
      <c r="L7" s="64">
        <f>-Sales!L$13*L13</f>
        <v>-62351856.856852807</v>
      </c>
    </row>
    <row r="8" spans="2:12">
      <c r="B8" s="20" t="s">
        <v>82</v>
      </c>
      <c r="C8" s="20">
        <f>'Income Statement'!C14</f>
        <v>-784540</v>
      </c>
      <c r="D8" s="20">
        <f>'Income Statement'!D14</f>
        <v>-504513</v>
      </c>
      <c r="E8" s="20">
        <f>'Income Statement'!E14</f>
        <v>-919479</v>
      </c>
      <c r="F8" s="20">
        <f>'Income Statement'!F14</f>
        <v>-2143370</v>
      </c>
      <c r="G8" s="20">
        <f>'Income Statement'!G14</f>
        <v>-2721284</v>
      </c>
      <c r="H8" s="64">
        <f>-Sales!H$13*H14</f>
        <v>-3459927.9544477509</v>
      </c>
      <c r="I8" s="64">
        <f>-Sales!I$13*I14</f>
        <v>-6796899.6420772066</v>
      </c>
      <c r="J8" s="64">
        <f>-Sales!J$13*J14</f>
        <v>-10188405.263808278</v>
      </c>
      <c r="K8" s="64">
        <f>-Sales!K$13*K14</f>
        <v>-15221418.141843226</v>
      </c>
      <c r="L8" s="64">
        <f>-Sales!L$13*L14</f>
        <v>-22771223.336579707</v>
      </c>
    </row>
    <row r="9" spans="2:12" s="6" customFormat="1" ht="12.75" thickBot="1">
      <c r="B9" s="46"/>
      <c r="C9" s="46">
        <f t="shared" ref="C9:L9" si="0">SUM(C6:C8)</f>
        <v>-5552468</v>
      </c>
      <c r="D9" s="46">
        <f t="shared" si="0"/>
        <v>-4709726</v>
      </c>
      <c r="E9" s="46">
        <f t="shared" si="0"/>
        <v>-6355291</v>
      </c>
      <c r="F9" s="46">
        <f t="shared" si="0"/>
        <v>-10206873</v>
      </c>
      <c r="G9" s="46">
        <f t="shared" si="0"/>
        <v>-12919218</v>
      </c>
      <c r="H9" s="72">
        <f t="shared" si="0"/>
        <v>-19902532.155643933</v>
      </c>
      <c r="I9" s="72">
        <f t="shared" si="0"/>
        <v>-39097783.383387834</v>
      </c>
      <c r="J9" s="72">
        <f t="shared" si="0"/>
        <v>-58606729.980318815</v>
      </c>
      <c r="K9" s="72">
        <f t="shared" si="0"/>
        <v>-87558113.351204336</v>
      </c>
      <c r="L9" s="72">
        <f t="shared" si="0"/>
        <v>-130986832.8607913</v>
      </c>
    </row>
    <row r="11" spans="2:12">
      <c r="B11" s="184" t="s">
        <v>317</v>
      </c>
      <c r="C11" s="184"/>
      <c r="D11" s="184"/>
      <c r="E11" s="184"/>
      <c r="F11" s="184"/>
      <c r="G11" s="184"/>
      <c r="H11" s="184"/>
      <c r="I11" s="184"/>
      <c r="J11" s="184"/>
      <c r="K11" s="184"/>
      <c r="L11" s="184"/>
    </row>
    <row r="12" spans="2:12" s="48" customFormat="1">
      <c r="B12" s="185" t="s">
        <v>79</v>
      </c>
      <c r="C12" s="186">
        <f>-C6/Sales!C$13</f>
        <v>7.4275445797051587E-2</v>
      </c>
      <c r="D12" s="186">
        <f>-D6/Sales!D$13</f>
        <v>5.5292273096114862E-2</v>
      </c>
      <c r="E12" s="186">
        <f>-E6/Sales!E$13</f>
        <v>4.8026259470929734E-2</v>
      </c>
      <c r="F12" s="186">
        <f>-F6/Sales!F$13</f>
        <v>3.7208497555213986E-2</v>
      </c>
      <c r="G12" s="186">
        <f>-G6/Sales!G$13</f>
        <v>3.3159012453098581E-2</v>
      </c>
      <c r="H12" s="186">
        <f>AVERAGE($E$12:$G$12)</f>
        <v>3.9464589826414098E-2</v>
      </c>
      <c r="I12" s="186">
        <f t="shared" ref="I12:L12" si="1">AVERAGE($E$12:$G$12)</f>
        <v>3.9464589826414098E-2</v>
      </c>
      <c r="J12" s="186">
        <f t="shared" si="1"/>
        <v>3.9464589826414098E-2</v>
      </c>
      <c r="K12" s="186">
        <f t="shared" si="1"/>
        <v>3.9464589826414098E-2</v>
      </c>
      <c r="L12" s="186">
        <f t="shared" si="1"/>
        <v>3.9464589826414098E-2</v>
      </c>
    </row>
    <row r="13" spans="2:12" s="48" customFormat="1">
      <c r="B13" s="185" t="s">
        <v>81</v>
      </c>
      <c r="C13" s="186">
        <f>-C7/Sales!C$13</f>
        <v>5.2942846612579045E-2</v>
      </c>
      <c r="D13" s="186">
        <f>-D7/Sales!D$13</f>
        <v>6.0544899106112882E-2</v>
      </c>
      <c r="E13" s="186">
        <f>-E7/Sales!E$13</f>
        <v>5.0874540923668263E-2</v>
      </c>
      <c r="F13" s="186">
        <f>-F7/Sales!F$13</f>
        <v>5.1504714021486708E-2</v>
      </c>
      <c r="G13" s="186">
        <f>-G7/Sales!G$13</f>
        <v>5.2393914837105308E-2</v>
      </c>
      <c r="H13" s="186">
        <f t="shared" ref="H13:H14" si="2">AVERAGE($C13:$G13)</f>
        <v>5.3652183100190445E-2</v>
      </c>
      <c r="I13" s="186">
        <f t="shared" ref="I13:L14" si="3">AVERAGE($C13:$G13)</f>
        <v>5.3652183100190445E-2</v>
      </c>
      <c r="J13" s="186">
        <f t="shared" si="3"/>
        <v>5.3652183100190445E-2</v>
      </c>
      <c r="K13" s="186">
        <f t="shared" si="3"/>
        <v>5.3652183100190445E-2</v>
      </c>
      <c r="L13" s="186">
        <f t="shared" si="3"/>
        <v>5.3652183100190445E-2</v>
      </c>
    </row>
    <row r="14" spans="2:12" s="48" customFormat="1">
      <c r="B14" s="185" t="s">
        <v>82</v>
      </c>
      <c r="C14" s="186">
        <f>-C8/Sales!C$13</f>
        <v>2.0933168270798469E-2</v>
      </c>
      <c r="D14" s="186">
        <f>-D8/Sales!D$13</f>
        <v>1.389736007647235E-2</v>
      </c>
      <c r="E14" s="186">
        <f>-E8/Sales!E$13</f>
        <v>1.6729277805417955E-2</v>
      </c>
      <c r="F14" s="186">
        <f>-F8/Sales!F$13</f>
        <v>2.3580971731163611E-2</v>
      </c>
      <c r="G14" s="186">
        <f>-G8/Sales!G$13</f>
        <v>2.282950764223373E-2</v>
      </c>
      <c r="H14" s="186">
        <f t="shared" si="2"/>
        <v>1.9594057105217222E-2</v>
      </c>
      <c r="I14" s="186">
        <f t="shared" si="3"/>
        <v>1.9594057105217222E-2</v>
      </c>
      <c r="J14" s="186">
        <f t="shared" si="3"/>
        <v>1.9594057105217222E-2</v>
      </c>
      <c r="K14" s="186">
        <f t="shared" si="3"/>
        <v>1.9594057105217222E-2</v>
      </c>
      <c r="L14" s="186">
        <f t="shared" si="3"/>
        <v>1.9594057105217222E-2</v>
      </c>
    </row>
    <row r="15" spans="2:12" s="48" customFormat="1"/>
  </sheetData>
  <mergeCells count="1">
    <mergeCell ref="C5:L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F6B7C-79F9-4B74-9E00-83B6007A53D7}">
  <dimension ref="B1:L8"/>
  <sheetViews>
    <sheetView workbookViewId="0">
      <selection activeCell="G14" sqref="G14"/>
    </sheetView>
  </sheetViews>
  <sheetFormatPr defaultRowHeight="12"/>
  <cols>
    <col min="1" max="1" width="2" style="1" customWidth="1"/>
    <col min="2" max="2" width="16" style="1" bestFit="1" customWidth="1"/>
    <col min="3" max="3" width="9.140625" style="1"/>
    <col min="4" max="4" width="11" style="1" bestFit="1" customWidth="1"/>
    <col min="5" max="7" width="9.140625" style="1"/>
    <col min="8" max="10" width="13.140625" style="1" bestFit="1" customWidth="1"/>
    <col min="11" max="12" width="14.5703125" style="1" bestFit="1" customWidth="1"/>
    <col min="13" max="16384" width="9.140625" style="1"/>
  </cols>
  <sheetData>
    <row r="1" spans="2:12" ht="15.75">
      <c r="B1" s="2" t="s">
        <v>83</v>
      </c>
    </row>
    <row r="2" spans="2:12" ht="15.75">
      <c r="B2" s="2"/>
    </row>
    <row r="3" spans="2:12">
      <c r="B3" s="11"/>
      <c r="C3" s="39" t="s">
        <v>62</v>
      </c>
      <c r="D3" s="39" t="s">
        <v>63</v>
      </c>
      <c r="E3" s="39" t="s">
        <v>64</v>
      </c>
      <c r="F3" s="40" t="s">
        <v>65</v>
      </c>
      <c r="G3" s="40" t="s">
        <v>66</v>
      </c>
      <c r="H3" s="39" t="s">
        <v>67</v>
      </c>
      <c r="I3" s="39" t="s">
        <v>68</v>
      </c>
      <c r="J3" s="39" t="s">
        <v>69</v>
      </c>
      <c r="K3" s="39" t="s">
        <v>70</v>
      </c>
      <c r="L3" s="39" t="s">
        <v>71</v>
      </c>
    </row>
    <row r="4" spans="2:12" ht="15.75" customHeight="1" thickBot="1">
      <c r="B4" s="17"/>
      <c r="C4" s="270" t="s">
        <v>72</v>
      </c>
      <c r="D4" s="270"/>
      <c r="E4" s="270"/>
      <c r="F4" s="270"/>
      <c r="G4" s="270"/>
      <c r="H4" s="270"/>
      <c r="I4" s="270"/>
      <c r="J4" s="270"/>
      <c r="K4" s="270"/>
      <c r="L4" s="270"/>
    </row>
    <row r="5" spans="2:12">
      <c r="B5" s="6" t="s">
        <v>83</v>
      </c>
      <c r="C5" s="3">
        <f>'Income Statement'!C16</f>
        <v>14444</v>
      </c>
      <c r="D5" s="3">
        <f>'Income Statement'!D16</f>
        <v>99001</v>
      </c>
      <c r="E5" s="3">
        <f>'Income Statement'!E16</f>
        <v>162912</v>
      </c>
      <c r="F5" s="3">
        <f>'Income Statement'!F16</f>
        <v>57122</v>
      </c>
      <c r="G5" s="3">
        <f>'Income Statement'!G16</f>
        <v>158237</v>
      </c>
      <c r="H5" s="71">
        <f>'Income Statement'!H7*H8</f>
        <v>283676.21252231783</v>
      </c>
      <c r="I5" s="71">
        <f>'Income Statement'!I7*I8</f>
        <v>557271.35730677727</v>
      </c>
      <c r="J5" s="71">
        <f>'Income Statement'!J7*J8</f>
        <v>835337.68764294789</v>
      </c>
      <c r="K5" s="71">
        <f>'Income Statement'!K7*K8</f>
        <v>1247989.6415605519</v>
      </c>
      <c r="L5" s="71">
        <f>'Income Statement'!L7*L8</f>
        <v>1866991.0112772251</v>
      </c>
    </row>
    <row r="8" spans="2:12" s="48" customFormat="1">
      <c r="B8" s="48" t="s">
        <v>318</v>
      </c>
      <c r="C8" s="48">
        <f>C5/'Income Statement'!C7</f>
        <v>3.853961334073637E-4</v>
      </c>
      <c r="D8" s="48">
        <f>D5/'Income Statement'!D7</f>
        <v>2.7270903721625392E-3</v>
      </c>
      <c r="E8" s="48">
        <f>E5/'Income Statement'!E7</f>
        <v>2.9640699851070547E-3</v>
      </c>
      <c r="F8" s="48">
        <f>F5/'Income Statement'!F7</f>
        <v>6.2844598330084292E-4</v>
      </c>
      <c r="G8" s="48">
        <f>G5/'Income Statement'!G7</f>
        <v>1.3274883477006219E-3</v>
      </c>
      <c r="H8" s="48">
        <f>AVERAGE($C$8:$G$8)</f>
        <v>1.6064981643356846E-3</v>
      </c>
      <c r="I8" s="48">
        <f>AVERAGE($C$8:$G$8)</f>
        <v>1.6064981643356846E-3</v>
      </c>
      <c r="J8" s="48">
        <f>AVERAGE($C$8:$G$8)</f>
        <v>1.6064981643356846E-3</v>
      </c>
      <c r="K8" s="48">
        <f>AVERAGE($C$8:$G$8)</f>
        <v>1.6064981643356846E-3</v>
      </c>
      <c r="L8" s="48">
        <f>AVERAGE($C$8:$G$8)</f>
        <v>1.6064981643356846E-3</v>
      </c>
    </row>
  </sheetData>
  <mergeCells count="1">
    <mergeCell ref="C4:L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330A3-B9CB-49CB-9B23-A578F06896DD}">
  <dimension ref="B1:L20"/>
  <sheetViews>
    <sheetView zoomScaleNormal="100" workbookViewId="0">
      <selection activeCell="N17" sqref="N17"/>
    </sheetView>
  </sheetViews>
  <sheetFormatPr defaultRowHeight="12"/>
  <cols>
    <col min="1" max="1" width="2" style="1" customWidth="1"/>
    <col min="2" max="2" width="29" style="1" bestFit="1" customWidth="1"/>
    <col min="3" max="12" width="11.7109375" style="1" customWidth="1"/>
    <col min="13" max="16384" width="9.140625" style="1"/>
  </cols>
  <sheetData>
    <row r="1" spans="2:12" ht="15.75">
      <c r="B1" s="2" t="s">
        <v>319</v>
      </c>
    </row>
    <row r="2" spans="2:12">
      <c r="B2" s="5"/>
    </row>
    <row r="3" spans="2:12">
      <c r="B3" s="5"/>
    </row>
    <row r="4" spans="2:12">
      <c r="B4" s="11"/>
      <c r="C4" s="39" t="s">
        <v>62</v>
      </c>
      <c r="D4" s="39" t="s">
        <v>63</v>
      </c>
      <c r="E4" s="39" t="s">
        <v>64</v>
      </c>
      <c r="F4" s="40" t="s">
        <v>65</v>
      </c>
      <c r="G4" s="40" t="s">
        <v>66</v>
      </c>
      <c r="H4" s="39" t="s">
        <v>67</v>
      </c>
      <c r="I4" s="39" t="s">
        <v>68</v>
      </c>
      <c r="J4" s="39" t="s">
        <v>69</v>
      </c>
      <c r="K4" s="39" t="s">
        <v>70</v>
      </c>
      <c r="L4" s="39" t="s">
        <v>71</v>
      </c>
    </row>
    <row r="5" spans="2:12" ht="15.75" customHeight="1" thickBot="1">
      <c r="B5" s="17"/>
      <c r="C5" s="270" t="s">
        <v>72</v>
      </c>
      <c r="D5" s="270"/>
      <c r="E5" s="270"/>
      <c r="F5" s="270"/>
      <c r="G5" s="270"/>
      <c r="H5" s="270"/>
      <c r="I5" s="270"/>
      <c r="J5" s="270"/>
      <c r="K5" s="270"/>
      <c r="L5" s="270"/>
    </row>
    <row r="6" spans="2:12" s="20" customFormat="1">
      <c r="B6" s="49" t="s">
        <v>320</v>
      </c>
      <c r="C6" s="20">
        <v>15451969</v>
      </c>
      <c r="D6" s="20">
        <f>C12</f>
        <v>18256474</v>
      </c>
      <c r="E6" s="20">
        <f t="shared" ref="E6:L6" si="0">D12</f>
        <v>22744239</v>
      </c>
      <c r="F6" s="20">
        <f t="shared" si="0"/>
        <v>26193029</v>
      </c>
      <c r="G6" s="20">
        <f t="shared" si="0"/>
        <v>34730382</v>
      </c>
      <c r="H6" s="64">
        <f t="shared" si="0"/>
        <v>58650853</v>
      </c>
      <c r="I6" s="64">
        <f t="shared" si="0"/>
        <v>77344488.293488383</v>
      </c>
      <c r="J6" s="64">
        <f t="shared" si="0"/>
        <v>101996297.80971065</v>
      </c>
      <c r="K6" s="64">
        <f t="shared" si="0"/>
        <v>134505315.07056376</v>
      </c>
      <c r="L6" s="64">
        <f t="shared" si="0"/>
        <v>177375847.66051376</v>
      </c>
    </row>
    <row r="7" spans="2:12">
      <c r="B7" s="49" t="s">
        <v>321</v>
      </c>
      <c r="C7" s="20">
        <f>C12-(C6+C11)</f>
        <v>4454786</v>
      </c>
      <c r="D7" s="20">
        <f>D12-(D6+D11)</f>
        <v>6500041</v>
      </c>
      <c r="E7" s="20">
        <f>E12-(E6+E11)</f>
        <v>5787947</v>
      </c>
      <c r="F7" s="20">
        <f>F12-(F6+F11)</f>
        <v>11423179</v>
      </c>
      <c r="G7" s="20">
        <f>G12-(G6+G11)</f>
        <v>27293097</v>
      </c>
      <c r="H7" s="64">
        <f>H$6*H16</f>
        <v>24877236.672372609</v>
      </c>
      <c r="I7" s="64">
        <f t="shared" ref="I7:L7" si="1">I$6*I16</f>
        <v>32806294.233788267</v>
      </c>
      <c r="J7" s="64">
        <f t="shared" si="1"/>
        <v>43262559.886690341</v>
      </c>
      <c r="K7" s="64">
        <f>K$6*K16</f>
        <v>57051524.156050406</v>
      </c>
      <c r="L7" s="64">
        <f t="shared" si="1"/>
        <v>75235409.486939788</v>
      </c>
    </row>
    <row r="8" spans="2:12">
      <c r="B8" s="56" t="s">
        <v>159</v>
      </c>
      <c r="C8" s="45">
        <v>-1641234</v>
      </c>
      <c r="D8" s="45">
        <v>-1980510</v>
      </c>
      <c r="E8" s="45">
        <v>-2279613</v>
      </c>
      <c r="F8" s="45">
        <v>-2774273</v>
      </c>
      <c r="G8" s="45">
        <v>-3213744</v>
      </c>
      <c r="H8" s="65">
        <f t="shared" ref="H8:L10" si="2">H18*H$11</f>
        <v>-6019750.4184452519</v>
      </c>
      <c r="I8" s="65">
        <f t="shared" si="2"/>
        <v>-7938409.9625824811</v>
      </c>
      <c r="J8" s="65">
        <f t="shared" si="2"/>
        <v>-10468598.920801241</v>
      </c>
      <c r="K8" s="65">
        <f t="shared" si="2"/>
        <v>-13805228.487966521</v>
      </c>
      <c r="L8" s="66">
        <f t="shared" si="2"/>
        <v>-18205333.401996028</v>
      </c>
    </row>
    <row r="9" spans="2:12">
      <c r="B9" s="57" t="s">
        <v>161</v>
      </c>
      <c r="C9" s="20">
        <v>0</v>
      </c>
      <c r="D9" s="20">
        <v>-16835</v>
      </c>
      <c r="E9" s="20">
        <v>-41215</v>
      </c>
      <c r="F9" s="20">
        <v>-63923</v>
      </c>
      <c r="G9" s="20">
        <v>-96677</v>
      </c>
      <c r="H9" s="64">
        <f t="shared" si="2"/>
        <v>-94982.122526432926</v>
      </c>
      <c r="I9" s="64">
        <f t="shared" si="2"/>
        <v>-125255.52976759555</v>
      </c>
      <c r="J9" s="64">
        <f t="shared" si="2"/>
        <v>-165177.90211515731</v>
      </c>
      <c r="K9" s="64">
        <f t="shared" si="2"/>
        <v>-217824.62936197626</v>
      </c>
      <c r="L9" s="67">
        <f t="shared" si="2"/>
        <v>-287251.31236745726</v>
      </c>
    </row>
    <row r="10" spans="2:12">
      <c r="B10" s="58" t="s">
        <v>160</v>
      </c>
      <c r="C10" s="59">
        <v>-9047</v>
      </c>
      <c r="D10" s="59">
        <v>-14931</v>
      </c>
      <c r="E10" s="59">
        <v>-18329</v>
      </c>
      <c r="F10" s="59">
        <v>-47630</v>
      </c>
      <c r="G10" s="59">
        <v>-62205</v>
      </c>
      <c r="H10" s="68">
        <f t="shared" si="2"/>
        <v>-68868.837912541523</v>
      </c>
      <c r="I10" s="68">
        <f t="shared" si="2"/>
        <v>-90819.225215918297</v>
      </c>
      <c r="J10" s="68">
        <f t="shared" si="2"/>
        <v>-119765.80292082499</v>
      </c>
      <c r="K10" s="68">
        <f t="shared" si="2"/>
        <v>-157938.44877192128</v>
      </c>
      <c r="L10" s="69">
        <f t="shared" si="2"/>
        <v>-208277.76370331016</v>
      </c>
    </row>
    <row r="11" spans="2:12">
      <c r="B11" s="53" t="s">
        <v>231</v>
      </c>
      <c r="C11" s="52">
        <f>SUM(C8:C10)</f>
        <v>-1650281</v>
      </c>
      <c r="D11" s="52">
        <f>SUM(D8:D10)</f>
        <v>-2012276</v>
      </c>
      <c r="E11" s="52">
        <f>SUM(E8:E10)</f>
        <v>-2339157</v>
      </c>
      <c r="F11" s="52">
        <f>SUM(F8:F10)</f>
        <v>-2885826</v>
      </c>
      <c r="G11" s="52">
        <f>SUM(G8:G10)</f>
        <v>-3372626</v>
      </c>
      <c r="H11" s="64">
        <f>-H$6*H15</f>
        <v>-6183601.3788842261</v>
      </c>
      <c r="I11" s="64">
        <f t="shared" ref="I11:L11" si="3">-I$6*I15</f>
        <v>-8154484.7175659947</v>
      </c>
      <c r="J11" s="64">
        <f t="shared" si="3"/>
        <v>-10753542.625837224</v>
      </c>
      <c r="K11" s="64">
        <f t="shared" si="3"/>
        <v>-14180991.566100419</v>
      </c>
      <c r="L11" s="64">
        <f t="shared" si="3"/>
        <v>-18700862.478066795</v>
      </c>
    </row>
    <row r="12" spans="2:12" s="48" customFormat="1" ht="12.75" thickBot="1">
      <c r="B12" s="50" t="s">
        <v>322</v>
      </c>
      <c r="C12" s="51">
        <v>18256474</v>
      </c>
      <c r="D12" s="51">
        <v>22744239</v>
      </c>
      <c r="E12" s="51">
        <v>26193029</v>
      </c>
      <c r="F12" s="51">
        <v>34730382</v>
      </c>
      <c r="G12" s="51">
        <v>58650853</v>
      </c>
      <c r="H12" s="70">
        <f>SUM(H6:H7,H11)</f>
        <v>77344488.293488383</v>
      </c>
      <c r="I12" s="70">
        <f>SUM(I6:I7,I11)</f>
        <v>101996297.80971065</v>
      </c>
      <c r="J12" s="70">
        <f>SUM(J6:J7,J11)</f>
        <v>134505315.07056376</v>
      </c>
      <c r="K12" s="70">
        <f>SUM(K6:K7,K11)</f>
        <v>177375847.66051376</v>
      </c>
      <c r="L12" s="70">
        <f>SUM(L6:L7,L11)</f>
        <v>233910394.66938674</v>
      </c>
    </row>
    <row r="14" spans="2:12">
      <c r="C14" s="20"/>
      <c r="D14" s="20"/>
      <c r="E14" s="20"/>
      <c r="F14" s="20"/>
      <c r="G14" s="20"/>
    </row>
    <row r="15" spans="2:12">
      <c r="B15" s="188" t="s">
        <v>323</v>
      </c>
      <c r="C15" s="188">
        <f>-C11/C6</f>
        <v>0.10680069316732385</v>
      </c>
      <c r="D15" s="188">
        <f>-D11/D6</f>
        <v>0.1102225982958155</v>
      </c>
      <c r="E15" s="188">
        <f>-E11/E6</f>
        <v>0.10284613171713505</v>
      </c>
      <c r="F15" s="188">
        <f>-F11/F6</f>
        <v>0.1101753447453519</v>
      </c>
      <c r="G15" s="188">
        <f>-G11/G6</f>
        <v>9.7108808074728339E-2</v>
      </c>
      <c r="H15" s="189">
        <f>AVERAGE($C15:$G15)</f>
        <v>0.10543071520007094</v>
      </c>
      <c r="I15" s="189">
        <f t="shared" ref="I15:L16" si="4">AVERAGE($C15:$G15)</f>
        <v>0.10543071520007094</v>
      </c>
      <c r="J15" s="189">
        <f t="shared" si="4"/>
        <v>0.10543071520007094</v>
      </c>
      <c r="K15" s="189">
        <f t="shared" si="4"/>
        <v>0.10543071520007094</v>
      </c>
      <c r="L15" s="189">
        <f t="shared" si="4"/>
        <v>0.10543071520007094</v>
      </c>
    </row>
    <row r="16" spans="2:12">
      <c r="B16" s="188" t="s">
        <v>324</v>
      </c>
      <c r="C16" s="190">
        <f>C7/C6</f>
        <v>0.28829892164551973</v>
      </c>
      <c r="D16" s="190">
        <f>D7/D6</f>
        <v>0.35604032848840361</v>
      </c>
      <c r="E16" s="190">
        <f>E7/E6</f>
        <v>0.2544796948361297</v>
      </c>
      <c r="F16" s="190">
        <f>F7/F6</f>
        <v>0.43611523508793121</v>
      </c>
      <c r="G16" s="190">
        <f>G7/G6</f>
        <v>0.7858565160613552</v>
      </c>
      <c r="H16" s="189">
        <f t="shared" ref="H16" si="5">AVERAGE($C16:$G16)</f>
        <v>0.42415813922386791</v>
      </c>
      <c r="I16" s="189">
        <f t="shared" si="4"/>
        <v>0.42415813922386791</v>
      </c>
      <c r="J16" s="189">
        <f t="shared" si="4"/>
        <v>0.42415813922386791</v>
      </c>
      <c r="K16" s="189">
        <f t="shared" si="4"/>
        <v>0.42415813922386791</v>
      </c>
      <c r="L16" s="189">
        <f t="shared" si="4"/>
        <v>0.42415813922386791</v>
      </c>
    </row>
    <row r="18" spans="2:12">
      <c r="B18" s="184" t="s">
        <v>159</v>
      </c>
      <c r="C18" s="191">
        <f t="shared" ref="C18:G20" si="6">C8/C$11</f>
        <v>0.99451790331464762</v>
      </c>
      <c r="D18" s="191">
        <f t="shared" si="6"/>
        <v>0.98421389511180379</v>
      </c>
      <c r="E18" s="191">
        <f t="shared" si="6"/>
        <v>0.97454467571009551</v>
      </c>
      <c r="F18" s="191">
        <f t="shared" si="6"/>
        <v>0.96134451626674655</v>
      </c>
      <c r="G18" s="191">
        <f t="shared" si="6"/>
        <v>0.95289071483170684</v>
      </c>
      <c r="H18" s="192">
        <f>AVERAGE($C18:$G18)</f>
        <v>0.97350234104700006</v>
      </c>
      <c r="I18" s="192">
        <f t="shared" ref="I18:L20" si="7">AVERAGE($C18:$G18)</f>
        <v>0.97350234104700006</v>
      </c>
      <c r="J18" s="192">
        <f t="shared" si="7"/>
        <v>0.97350234104700006</v>
      </c>
      <c r="K18" s="192">
        <f t="shared" si="7"/>
        <v>0.97350234104700006</v>
      </c>
      <c r="L18" s="192">
        <f t="shared" si="7"/>
        <v>0.97350234104700006</v>
      </c>
    </row>
    <row r="19" spans="2:12">
      <c r="B19" s="184" t="s">
        <v>161</v>
      </c>
      <c r="C19" s="191">
        <f t="shared" si="6"/>
        <v>0</v>
      </c>
      <c r="D19" s="191">
        <f t="shared" si="6"/>
        <v>8.3661485800158621E-3</v>
      </c>
      <c r="E19" s="191">
        <f t="shared" si="6"/>
        <v>1.7619595435449609E-2</v>
      </c>
      <c r="F19" s="191">
        <f t="shared" si="6"/>
        <v>2.2150677137152412E-2</v>
      </c>
      <c r="G19" s="191">
        <f t="shared" si="6"/>
        <v>2.8665200351298957E-2</v>
      </c>
      <c r="H19" s="192">
        <f>AVERAGE($C19:$G19)</f>
        <v>1.5360324300783369E-2</v>
      </c>
      <c r="I19" s="192">
        <f t="shared" si="7"/>
        <v>1.5360324300783369E-2</v>
      </c>
      <c r="J19" s="192">
        <f t="shared" si="7"/>
        <v>1.5360324300783369E-2</v>
      </c>
      <c r="K19" s="192">
        <f t="shared" si="7"/>
        <v>1.5360324300783369E-2</v>
      </c>
      <c r="L19" s="192">
        <f t="shared" si="7"/>
        <v>1.5360324300783369E-2</v>
      </c>
    </row>
    <row r="20" spans="2:12">
      <c r="B20" s="184" t="s">
        <v>160</v>
      </c>
      <c r="C20" s="191">
        <f t="shared" si="6"/>
        <v>5.4820966853523735E-3</v>
      </c>
      <c r="D20" s="191">
        <f t="shared" si="6"/>
        <v>7.4199563081803884E-3</v>
      </c>
      <c r="E20" s="191">
        <f t="shared" si="6"/>
        <v>7.8357288544548317E-3</v>
      </c>
      <c r="F20" s="191">
        <f t="shared" si="6"/>
        <v>1.6504806596101082E-2</v>
      </c>
      <c r="G20" s="191">
        <f t="shared" si="6"/>
        <v>1.8444084816994236E-2</v>
      </c>
      <c r="H20" s="192">
        <f>AVERAGE($C20:$G20)</f>
        <v>1.1137334652216582E-2</v>
      </c>
      <c r="I20" s="192">
        <f t="shared" si="7"/>
        <v>1.1137334652216582E-2</v>
      </c>
      <c r="J20" s="192">
        <f t="shared" si="7"/>
        <v>1.1137334652216582E-2</v>
      </c>
      <c r="K20" s="192">
        <f t="shared" si="7"/>
        <v>1.1137334652216582E-2</v>
      </c>
      <c r="L20" s="192">
        <f t="shared" si="7"/>
        <v>1.1137334652216582E-2</v>
      </c>
    </row>
  </sheetData>
  <mergeCells count="1">
    <mergeCell ref="C5:L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7386F-3DD1-4BFD-8024-471A2663E05A}">
  <dimension ref="B1:L14"/>
  <sheetViews>
    <sheetView workbookViewId="0">
      <selection activeCell="K23" sqref="K23"/>
    </sheetView>
  </sheetViews>
  <sheetFormatPr defaultColWidth="9.140625" defaultRowHeight="12"/>
  <cols>
    <col min="1" max="1" width="2" style="197" customWidth="1"/>
    <col min="2" max="2" width="21.42578125" style="197" bestFit="1" customWidth="1"/>
    <col min="3" max="12" width="12.7109375" style="197" customWidth="1"/>
    <col min="13" max="16384" width="9.140625" style="197"/>
  </cols>
  <sheetData>
    <row r="1" spans="2:12" ht="15.75">
      <c r="B1" s="193" t="s">
        <v>325</v>
      </c>
    </row>
    <row r="2" spans="2:12">
      <c r="B2" s="203"/>
    </row>
    <row r="3" spans="2:12">
      <c r="B3" s="203"/>
    </row>
    <row r="4" spans="2:12">
      <c r="B4" s="194"/>
      <c r="C4" s="195" t="s">
        <v>62</v>
      </c>
      <c r="D4" s="195" t="s">
        <v>63</v>
      </c>
      <c r="E4" s="195" t="s">
        <v>64</v>
      </c>
      <c r="F4" s="196" t="s">
        <v>65</v>
      </c>
      <c r="G4" s="196" t="s">
        <v>66</v>
      </c>
      <c r="H4" s="195" t="s">
        <v>67</v>
      </c>
      <c r="I4" s="195" t="s">
        <v>68</v>
      </c>
      <c r="J4" s="195" t="s">
        <v>69</v>
      </c>
      <c r="K4" s="195" t="s">
        <v>70</v>
      </c>
      <c r="L4" s="195" t="s">
        <v>71</v>
      </c>
    </row>
    <row r="5" spans="2:12">
      <c r="B5" s="198" t="s">
        <v>233</v>
      </c>
      <c r="C5" s="199">
        <f>'Financial Position'!C18</f>
        <v>8247740</v>
      </c>
      <c r="D5" s="199">
        <f>'Financial Position'!D18</f>
        <v>7207391</v>
      </c>
      <c r="E5" s="199">
        <f>'Financial Position'!E18</f>
        <v>15052940</v>
      </c>
      <c r="F5" s="199">
        <f>'Financial Position'!F18</f>
        <v>28603965</v>
      </c>
      <c r="G5" s="199">
        <f>'Financial Position'!G18</f>
        <v>34138665</v>
      </c>
      <c r="H5" s="200">
        <f>H11*('Income Statement'!H7)/365</f>
        <v>50797123.585781842</v>
      </c>
      <c r="I5" s="200">
        <f>I11*('Income Statement'!I7)/365</f>
        <v>99789057.941196516</v>
      </c>
      <c r="J5" s="200">
        <f>J11*('Income Statement'!J7)/365</f>
        <v>149581635.26567003</v>
      </c>
      <c r="K5" s="200">
        <f>K11*('Income Statement'!K7)/365</f>
        <v>223474092.14348376</v>
      </c>
      <c r="L5" s="200">
        <f>L11*('Income Statement'!L7)/365</f>
        <v>334316974.58923095</v>
      </c>
    </row>
    <row r="6" spans="2:12">
      <c r="B6" s="198" t="s">
        <v>234</v>
      </c>
      <c r="C6" s="199">
        <f>'Financial Position'!C17</f>
        <v>6282491</v>
      </c>
      <c r="D6" s="199">
        <f>'Financial Position'!D17</f>
        <v>8810625</v>
      </c>
      <c r="E6" s="199">
        <f>'Financial Position'!E17</f>
        <v>11276308</v>
      </c>
      <c r="F6" s="199">
        <f>'Financial Position'!F17</f>
        <v>23142048</v>
      </c>
      <c r="G6" s="199">
        <f>'Financial Position'!G17</f>
        <v>19728810</v>
      </c>
      <c r="H6" s="200">
        <f>-H12*('Income Statement'!H$8)/365</f>
        <v>32052509.316711176</v>
      </c>
      <c r="I6" s="200">
        <f>-I12*('Income Statement'!I$8)/365</f>
        <v>51618346.606557362</v>
      </c>
      <c r="J6" s="200">
        <f>-J12*('Income Statement'!J$8)/365</f>
        <v>83015954.282086581</v>
      </c>
      <c r="K6" s="200">
        <f>-K12*('Income Statement'!K$8)/365</f>
        <v>133285182.1115523</v>
      </c>
      <c r="L6" s="200">
        <f>-L12*('Income Statement'!L$8)/365</f>
        <v>213570655.37795001</v>
      </c>
    </row>
    <row r="7" spans="2:12">
      <c r="B7" s="198" t="s">
        <v>235</v>
      </c>
      <c r="C7" s="199">
        <f>'Financial Position'!C43</f>
        <v>3576861</v>
      </c>
      <c r="D7" s="199">
        <f>'Financial Position'!D43</f>
        <v>3031231</v>
      </c>
      <c r="E7" s="199">
        <f>'Financial Position'!E43</f>
        <v>5551641</v>
      </c>
      <c r="F7" s="199">
        <f>'Financial Position'!F43</f>
        <v>9084790</v>
      </c>
      <c r="G7" s="199">
        <f>'Financial Position'!G43</f>
        <v>12003908</v>
      </c>
      <c r="H7" s="200">
        <f>-H13*('Income Statement'!H$8)/365</f>
        <v>19943783.574842509</v>
      </c>
      <c r="I7" s="200">
        <f>-I13*('Income Statement'!I$8)/365</f>
        <v>32118082.332969029</v>
      </c>
      <c r="J7" s="200">
        <f>-J13*('Income Statement'!J$8)/365</f>
        <v>51654371.553298309</v>
      </c>
      <c r="K7" s="200">
        <f>-K13*('Income Statement'!K$8)/365</f>
        <v>82933002.202743649</v>
      </c>
      <c r="L7" s="200">
        <f>-L13*('Income Statement'!L$8)/365</f>
        <v>132888407.79072446</v>
      </c>
    </row>
    <row r="8" spans="2:12" ht="12.75" thickBot="1">
      <c r="B8" s="201" t="s">
        <v>326</v>
      </c>
      <c r="C8" s="202">
        <f t="shared" ref="C8:L8" si="0">C5+C6-C7</f>
        <v>10953370</v>
      </c>
      <c r="D8" s="202">
        <f t="shared" si="0"/>
        <v>12986785</v>
      </c>
      <c r="E8" s="202">
        <f t="shared" si="0"/>
        <v>20777607</v>
      </c>
      <c r="F8" s="202">
        <f t="shared" si="0"/>
        <v>42661223</v>
      </c>
      <c r="G8" s="202">
        <f t="shared" si="0"/>
        <v>41863567</v>
      </c>
      <c r="H8" s="208">
        <f t="shared" si="0"/>
        <v>62905849.327650502</v>
      </c>
      <c r="I8" s="208">
        <f t="shared" si="0"/>
        <v>119289322.21478485</v>
      </c>
      <c r="J8" s="208">
        <f t="shared" si="0"/>
        <v>180943217.99445832</v>
      </c>
      <c r="K8" s="208">
        <f t="shared" si="0"/>
        <v>273826272.05229241</v>
      </c>
      <c r="L8" s="208">
        <f t="shared" si="0"/>
        <v>414999222.17645651</v>
      </c>
    </row>
    <row r="9" spans="2:12"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</row>
    <row r="10" spans="2:12">
      <c r="B10" s="204" t="s">
        <v>327</v>
      </c>
      <c r="C10" s="205"/>
      <c r="D10" s="205"/>
      <c r="E10" s="205"/>
      <c r="F10" s="205"/>
      <c r="G10" s="205"/>
      <c r="H10" s="205"/>
      <c r="I10" s="205"/>
      <c r="J10" s="205"/>
      <c r="K10" s="205"/>
      <c r="L10" s="205"/>
    </row>
    <row r="11" spans="2:12">
      <c r="B11" s="205" t="s">
        <v>328</v>
      </c>
      <c r="C11" s="206">
        <f>C5/('Income Statement'!C7/365)</f>
        <v>80.324438760210199</v>
      </c>
      <c r="D11" s="206">
        <f>D5/('Income Statement'!D7/365)</f>
        <v>72.465433790027291</v>
      </c>
      <c r="E11" s="206">
        <f>E5/('Income Statement'!E7/365)</f>
        <v>99.965368967235975</v>
      </c>
      <c r="F11" s="206">
        <f>F5/('Income Statement'!F7/365)</f>
        <v>114.86392497489027</v>
      </c>
      <c r="G11" s="206">
        <f>G5/('Income Statement'!G7/365)</f>
        <v>104.53508469983375</v>
      </c>
      <c r="H11" s="206">
        <v>105</v>
      </c>
      <c r="I11" s="206">
        <v>105</v>
      </c>
      <c r="J11" s="206">
        <v>105</v>
      </c>
      <c r="K11" s="206">
        <v>105</v>
      </c>
      <c r="L11" s="206">
        <v>105</v>
      </c>
    </row>
    <row r="12" spans="2:12">
      <c r="B12" s="205" t="s">
        <v>329</v>
      </c>
      <c r="C12" s="206">
        <f>-C6/('Income Statement'!C$8/365)</f>
        <v>89.842678387893997</v>
      </c>
      <c r="D12" s="206">
        <f>-D6/('Income Statement'!D$8/365)</f>
        <v>113.07955733160951</v>
      </c>
      <c r="E12" s="206">
        <f>-E6/('Income Statement'!E$8/365)</f>
        <v>101.0025505530861</v>
      </c>
      <c r="F12" s="206">
        <f>-F6/('Income Statement'!F$8/365)</f>
        <v>130.29652550723549</v>
      </c>
      <c r="G12" s="206">
        <f>-G6/('Income Statement'!G$8/365)</f>
        <v>90.77529776684807</v>
      </c>
      <c r="H12" s="206">
        <v>90</v>
      </c>
      <c r="I12" s="206">
        <v>90</v>
      </c>
      <c r="J12" s="206">
        <v>90</v>
      </c>
      <c r="K12" s="206">
        <v>90</v>
      </c>
      <c r="L12" s="206">
        <v>90</v>
      </c>
    </row>
    <row r="13" spans="2:12">
      <c r="B13" s="205" t="s">
        <v>330</v>
      </c>
      <c r="C13" s="206">
        <f>-C7/('Income Statement'!C$8/365)</f>
        <v>51.15085281637505</v>
      </c>
      <c r="D13" s="206">
        <f>-D7/('Income Statement'!D$8/365)</f>
        <v>38.904193476609436</v>
      </c>
      <c r="E13" s="206">
        <f>-E7/('Income Statement'!E$8/365)</f>
        <v>49.726373273511633</v>
      </c>
      <c r="F13" s="206">
        <f>-F7/('Income Statement'!F$8/365)</f>
        <v>51.15003529345708</v>
      </c>
      <c r="G13" s="206">
        <f>-G7/('Income Statement'!G$8/365)</f>
        <v>55.231832181761071</v>
      </c>
      <c r="H13" s="206">
        <v>56</v>
      </c>
      <c r="I13" s="206">
        <v>56</v>
      </c>
      <c r="J13" s="206">
        <v>56</v>
      </c>
      <c r="K13" s="206">
        <v>56</v>
      </c>
      <c r="L13" s="206">
        <v>56</v>
      </c>
    </row>
    <row r="14" spans="2:12">
      <c r="B14" s="207" t="s">
        <v>326</v>
      </c>
      <c r="C14" s="206">
        <f t="shared" ref="C14:K14" si="1">C11+C12-C13</f>
        <v>119.01626433172913</v>
      </c>
      <c r="D14" s="206">
        <f t="shared" si="1"/>
        <v>146.64079764502736</v>
      </c>
      <c r="E14" s="206">
        <f t="shared" si="1"/>
        <v>151.24154624681046</v>
      </c>
      <c r="F14" s="206">
        <f t="shared" si="1"/>
        <v>194.01041518866867</v>
      </c>
      <c r="G14" s="206">
        <f t="shared" si="1"/>
        <v>140.07855028492074</v>
      </c>
      <c r="H14" s="206">
        <f>H11+H12-H13</f>
        <v>139</v>
      </c>
      <c r="I14" s="206">
        <f t="shared" si="1"/>
        <v>139</v>
      </c>
      <c r="J14" s="206">
        <f t="shared" si="1"/>
        <v>139</v>
      </c>
      <c r="K14" s="206">
        <f t="shared" si="1"/>
        <v>139</v>
      </c>
      <c r="L14" s="206">
        <f>L11+L12-L13</f>
        <v>139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FD919-7023-4F32-B1CA-E39C2260A616}">
  <dimension ref="B1:N20"/>
  <sheetViews>
    <sheetView workbookViewId="0">
      <selection activeCell="L23" sqref="L23"/>
    </sheetView>
  </sheetViews>
  <sheetFormatPr defaultRowHeight="12"/>
  <cols>
    <col min="1" max="1" width="2" style="1" customWidth="1"/>
    <col min="2" max="2" width="18" style="1" customWidth="1"/>
    <col min="3" max="12" width="10.85546875" style="1" customWidth="1"/>
    <col min="13" max="13" width="10.5703125" style="1" customWidth="1"/>
    <col min="14" max="14" width="11" style="1" bestFit="1" customWidth="1"/>
    <col min="15" max="16384" width="9.140625" style="1"/>
  </cols>
  <sheetData>
    <row r="1" spans="2:14" ht="15.75">
      <c r="B1" s="2" t="s">
        <v>26</v>
      </c>
    </row>
    <row r="3" spans="2:14">
      <c r="B3" s="11"/>
      <c r="C3" s="44" t="s">
        <v>101</v>
      </c>
      <c r="D3" s="44" t="s">
        <v>102</v>
      </c>
      <c r="E3" s="44" t="s">
        <v>103</v>
      </c>
      <c r="F3" s="44" t="s">
        <v>104</v>
      </c>
      <c r="G3" s="44" t="s">
        <v>105</v>
      </c>
      <c r="H3" s="44" t="s">
        <v>106</v>
      </c>
      <c r="I3" s="44" t="s">
        <v>107</v>
      </c>
      <c r="J3" s="44" t="s">
        <v>108</v>
      </c>
      <c r="K3" s="44" t="s">
        <v>109</v>
      </c>
      <c r="L3" s="44" t="s">
        <v>110</v>
      </c>
    </row>
    <row r="4" spans="2:14" ht="15.75" customHeight="1" thickBot="1">
      <c r="B4" s="17"/>
      <c r="C4" s="270" t="s">
        <v>72</v>
      </c>
      <c r="D4" s="270"/>
      <c r="E4" s="270"/>
      <c r="F4" s="270"/>
      <c r="G4" s="270"/>
      <c r="H4" s="270"/>
      <c r="I4" s="270"/>
      <c r="J4" s="270"/>
      <c r="K4" s="270"/>
      <c r="L4" s="270"/>
      <c r="M4" s="89" t="s">
        <v>73</v>
      </c>
    </row>
    <row r="5" spans="2:14" ht="15" customHeight="1">
      <c r="B5" s="1" t="s">
        <v>118</v>
      </c>
      <c r="C5" s="3">
        <v>65762</v>
      </c>
      <c r="D5" s="3">
        <v>113823</v>
      </c>
      <c r="E5" s="3">
        <v>144673</v>
      </c>
      <c r="F5" s="3">
        <v>179626</v>
      </c>
      <c r="G5" s="3">
        <v>147858</v>
      </c>
      <c r="H5" s="71">
        <f>H14*'Income Statement'!H$7</f>
        <v>379256.00858908275</v>
      </c>
      <c r="I5" s="71">
        <f>I14*'Income Statement'!I$7</f>
        <v>745034.30793148151</v>
      </c>
      <c r="J5" s="71">
        <f>J14*'Income Statement'!J$7</f>
        <v>1116790.2815065046</v>
      </c>
      <c r="K5" s="71">
        <f>K14*'Income Statement'!K$7</f>
        <v>1668478.1780267821</v>
      </c>
      <c r="L5" s="71">
        <f>L14*'Income Statement'!L$7</f>
        <v>2496041.3589595193</v>
      </c>
      <c r="M5" s="279" t="s">
        <v>119</v>
      </c>
    </row>
    <row r="6" spans="2:14">
      <c r="B6" s="1" t="s">
        <v>120</v>
      </c>
      <c r="C6" s="3">
        <v>28019</v>
      </c>
      <c r="D6" s="3">
        <v>38337</v>
      </c>
      <c r="E6" s="3">
        <v>60478</v>
      </c>
      <c r="F6" s="3">
        <v>86955</v>
      </c>
      <c r="G6" s="3">
        <v>81701</v>
      </c>
      <c r="H6" s="71">
        <f>H15*'Income Statement'!H$7</f>
        <v>160549.35627181423</v>
      </c>
      <c r="I6" s="71">
        <f>I15*'Income Statement'!I$7</f>
        <v>315393.23261827731</v>
      </c>
      <c r="J6" s="71">
        <f>J15*'Income Statement'!J$7</f>
        <v>472767.62061996991</v>
      </c>
      <c r="K6" s="71">
        <f>K15*'Income Statement'!K$7</f>
        <v>706312.07250299654</v>
      </c>
      <c r="L6" s="71">
        <f>L15*'Income Statement'!L$7</f>
        <v>1056642.01577085</v>
      </c>
      <c r="M6" s="280"/>
    </row>
    <row r="7" spans="2:14">
      <c r="B7" s="1" t="s">
        <v>123</v>
      </c>
      <c r="C7" s="3">
        <v>887659</v>
      </c>
      <c r="D7" s="3">
        <v>1062524</v>
      </c>
      <c r="E7" s="3">
        <v>1199116</v>
      </c>
      <c r="F7" s="3">
        <v>1866417</v>
      </c>
      <c r="G7" s="3">
        <v>2490975</v>
      </c>
      <c r="H7" s="71">
        <f>H16*'Income Statement'!H$7</f>
        <v>4103780.8560877168</v>
      </c>
      <c r="I7" s="71">
        <f>I16*'Income Statement'!I$7</f>
        <v>8061724.6945993053</v>
      </c>
      <c r="J7" s="71">
        <f>J16*'Income Statement'!J$7</f>
        <v>12084350.606760917</v>
      </c>
      <c r="K7" s="71">
        <f>K16*'Income Statement'!K$7</f>
        <v>18053949.445017498</v>
      </c>
      <c r="L7" s="71">
        <f>L16*'Income Statement'!L$7</f>
        <v>27008686.778643973</v>
      </c>
      <c r="M7" s="280"/>
    </row>
    <row r="8" spans="2:14">
      <c r="B8" s="1" t="s">
        <v>127</v>
      </c>
      <c r="C8" s="3">
        <v>1063342</v>
      </c>
      <c r="D8" s="3">
        <v>485930</v>
      </c>
      <c r="E8" s="3">
        <v>1034836</v>
      </c>
      <c r="F8" s="3">
        <v>1633562</v>
      </c>
      <c r="G8" s="3">
        <v>2112755</v>
      </c>
      <c r="H8" s="71">
        <f>H17*'Income Statement'!H$7</f>
        <v>3400316.4695359766</v>
      </c>
      <c r="I8" s="71">
        <f>I17*'Income Statement'!I$7</f>
        <v>6679795.0994986026</v>
      </c>
      <c r="J8" s="71">
        <f>J17*'Income Statement'!J$7</f>
        <v>10012868.092325328</v>
      </c>
      <c r="K8" s="71">
        <f>K17*'Income Statement'!K$7</f>
        <v>14959166.629717991</v>
      </c>
      <c r="L8" s="71">
        <f>L17*'Income Statement'!L$7</f>
        <v>22378895.388072517</v>
      </c>
      <c r="M8" s="280"/>
    </row>
    <row r="9" spans="2:14">
      <c r="B9" s="1" t="s">
        <v>128</v>
      </c>
      <c r="C9" s="3">
        <v>194544</v>
      </c>
      <c r="D9" s="3">
        <v>193182</v>
      </c>
      <c r="E9" s="3">
        <v>318708</v>
      </c>
      <c r="F9" s="3">
        <v>998491</v>
      </c>
      <c r="G9" s="3">
        <v>671874</v>
      </c>
      <c r="H9" s="71">
        <f>H18*'Income Statement'!H$7</f>
        <v>1163052.6245745188</v>
      </c>
      <c r="I9" s="71">
        <f>I18*'Income Statement'!I$7</f>
        <v>2284773.5767230061</v>
      </c>
      <c r="J9" s="71">
        <f>J18*'Income Statement'!J$7</f>
        <v>3424826.0768170874</v>
      </c>
      <c r="K9" s="71">
        <f>K18*'Income Statement'!K$7</f>
        <v>5116670.217615162</v>
      </c>
      <c r="L9" s="71">
        <f>L18*'Income Statement'!L$7</f>
        <v>7654532.5264175236</v>
      </c>
      <c r="M9" s="280"/>
    </row>
    <row r="10" spans="2:14">
      <c r="B10" s="1" t="s">
        <v>130</v>
      </c>
      <c r="C10" s="3">
        <v>10441</v>
      </c>
      <c r="D10" s="3">
        <v>2239</v>
      </c>
      <c r="E10" s="3">
        <v>2131</v>
      </c>
      <c r="F10" s="3">
        <v>4570</v>
      </c>
      <c r="G10" s="3">
        <v>1623</v>
      </c>
      <c r="H10" s="71">
        <f>H19*'Income Statement'!H$7</f>
        <v>15642.541445517865</v>
      </c>
      <c r="I10" s="71">
        <f>I19*'Income Statement'!I$7</f>
        <v>30729.190246734026</v>
      </c>
      <c r="J10" s="71">
        <f>J19*'Income Statement'!J$7</f>
        <v>46062.390229247212</v>
      </c>
      <c r="K10" s="71">
        <f>K19*'Income Statement'!K$7</f>
        <v>68816.942802886857</v>
      </c>
      <c r="L10" s="71">
        <f>L19*'Income Statement'!L$7</f>
        <v>102950.0641334729</v>
      </c>
      <c r="M10" s="280"/>
    </row>
    <row r="11" spans="2:14">
      <c r="B11" s="1" t="s">
        <v>131</v>
      </c>
      <c r="C11" s="3">
        <v>1925439</v>
      </c>
      <c r="D11" s="3">
        <v>2408014</v>
      </c>
      <c r="E11" s="3">
        <v>4328555</v>
      </c>
      <c r="F11" s="3">
        <v>4224938</v>
      </c>
      <c r="G11" s="3">
        <v>4758814</v>
      </c>
      <c r="H11" s="71">
        <f>H20*'Income Statement'!H$7</f>
        <v>9989722.2511013914</v>
      </c>
      <c r="I11" s="71">
        <f>I20*'Income Statement'!I$7</f>
        <v>19624437.412252221</v>
      </c>
      <c r="J11" s="71">
        <f>J20*'Income Statement'!J$7</f>
        <v>29416606.388079949</v>
      </c>
      <c r="K11" s="71">
        <f>K20*'Income Statement'!K$7</f>
        <v>43948238.664744109</v>
      </c>
      <c r="L11" s="71">
        <f>L20*'Income Statement'!L$7</f>
        <v>65746512.483823664</v>
      </c>
      <c r="M11" s="280"/>
    </row>
    <row r="13" spans="2:14">
      <c r="B13" s="6" t="s">
        <v>331</v>
      </c>
    </row>
    <row r="14" spans="2:14">
      <c r="B14" s="1" t="s">
        <v>118</v>
      </c>
      <c r="C14" s="48">
        <f>C5/'Income Statement'!C$7</f>
        <v>1.7546677184391477E-3</v>
      </c>
      <c r="D14" s="48">
        <f>D5/'Income Statement'!D$7</f>
        <v>3.1353785055772843E-3</v>
      </c>
      <c r="E14" s="48">
        <f>E5/'Income Statement'!E$7</f>
        <v>2.6322241268623117E-3</v>
      </c>
      <c r="F14" s="48">
        <f>F5/'Income Statement'!F$7</f>
        <v>1.976212986176906E-3</v>
      </c>
      <c r="G14" s="48">
        <f>G5/'Income Statement'!G$7</f>
        <v>1.2404164140771029E-3</v>
      </c>
      <c r="H14" s="91">
        <f>AVERAGE($C14:$G14)</f>
        <v>2.1477799502265505E-3</v>
      </c>
      <c r="I14" s="91">
        <f t="shared" ref="I14:L20" si="0">AVERAGE($C14:$G14)</f>
        <v>2.1477799502265505E-3</v>
      </c>
      <c r="J14" s="91">
        <f t="shared" si="0"/>
        <v>2.1477799502265505E-3</v>
      </c>
      <c r="K14" s="91">
        <f t="shared" si="0"/>
        <v>2.1477799502265505E-3</v>
      </c>
      <c r="L14" s="91">
        <f t="shared" si="0"/>
        <v>2.1477799502265505E-3</v>
      </c>
      <c r="N14" s="183"/>
    </row>
    <row r="15" spans="2:14">
      <c r="B15" s="1" t="s">
        <v>120</v>
      </c>
      <c r="C15" s="48">
        <f>C6/'Income Statement'!C$7</f>
        <v>7.4760552907372768E-4</v>
      </c>
      <c r="D15" s="48">
        <f>D6/'Income Statement'!D$7</f>
        <v>1.056034419830055E-3</v>
      </c>
      <c r="E15" s="48">
        <f>E6/'Income Statement'!E$7</f>
        <v>1.1003549435235247E-3</v>
      </c>
      <c r="F15" s="48">
        <f>F6/'Income Statement'!F$7</f>
        <v>9.5666329046470357E-4</v>
      </c>
      <c r="G15" s="48">
        <f>G6/'Income Statement'!G$7</f>
        <v>6.854093890524246E-4</v>
      </c>
      <c r="H15" s="91">
        <f t="shared" ref="H15:H20" si="1">AVERAGE($C15:$G15)</f>
        <v>9.0921351438888703E-4</v>
      </c>
      <c r="I15" s="91">
        <f t="shared" si="0"/>
        <v>9.0921351438888703E-4</v>
      </c>
      <c r="J15" s="91">
        <f t="shared" si="0"/>
        <v>9.0921351438888703E-4</v>
      </c>
      <c r="K15" s="91">
        <f t="shared" si="0"/>
        <v>9.0921351438888703E-4</v>
      </c>
      <c r="L15" s="91">
        <f t="shared" si="0"/>
        <v>9.0921351438888703E-4</v>
      </c>
    </row>
    <row r="16" spans="2:14">
      <c r="B16" s="1" t="s">
        <v>123</v>
      </c>
      <c r="C16" s="48">
        <f>C7/'Income Statement'!C$7</f>
        <v>2.3684598891182986E-2</v>
      </c>
      <c r="D16" s="48">
        <f>D7/'Income Statement'!D$7</f>
        <v>2.9268380830412118E-2</v>
      </c>
      <c r="E16" s="48">
        <f>E7/'Income Statement'!E$7</f>
        <v>2.1817077589506181E-2</v>
      </c>
      <c r="F16" s="48">
        <f>F7/'Income Statement'!F$7</f>
        <v>2.0533984573621537E-2</v>
      </c>
      <c r="G16" s="48">
        <f>G7/'Income Statement'!G$7</f>
        <v>2.0897389908261382E-2</v>
      </c>
      <c r="H16" s="91">
        <f t="shared" si="1"/>
        <v>2.3240286358596842E-2</v>
      </c>
      <c r="I16" s="91">
        <f t="shared" si="0"/>
        <v>2.3240286358596842E-2</v>
      </c>
      <c r="J16" s="91">
        <f t="shared" si="0"/>
        <v>2.3240286358596842E-2</v>
      </c>
      <c r="K16" s="91">
        <f t="shared" si="0"/>
        <v>2.3240286358596842E-2</v>
      </c>
      <c r="L16" s="91">
        <f t="shared" si="0"/>
        <v>2.3240286358596842E-2</v>
      </c>
    </row>
    <row r="17" spans="2:12">
      <c r="B17" s="1" t="s">
        <v>127</v>
      </c>
      <c r="C17" s="48">
        <f>C8/'Income Statement'!C$7</f>
        <v>2.8372188818170375E-2</v>
      </c>
      <c r="D17" s="48">
        <f>D8/'Income Statement'!D$7</f>
        <v>1.3385471101755969E-2</v>
      </c>
      <c r="E17" s="48">
        <f>E8/'Income Statement'!E$7</f>
        <v>1.8828117800458188E-2</v>
      </c>
      <c r="F17" s="48">
        <f>F8/'Income Statement'!F$7</f>
        <v>1.7972155690852764E-2</v>
      </c>
      <c r="G17" s="48">
        <f>G8/'Income Statement'!G$7</f>
        <v>1.7724411130432372E-2</v>
      </c>
      <c r="H17" s="91">
        <f t="shared" si="1"/>
        <v>1.9256468908333935E-2</v>
      </c>
      <c r="I17" s="91">
        <f t="shared" si="0"/>
        <v>1.9256468908333935E-2</v>
      </c>
      <c r="J17" s="91">
        <f t="shared" si="0"/>
        <v>1.9256468908333935E-2</v>
      </c>
      <c r="K17" s="91">
        <f t="shared" si="0"/>
        <v>1.9256468908333935E-2</v>
      </c>
      <c r="L17" s="91">
        <f t="shared" si="0"/>
        <v>1.9256468908333935E-2</v>
      </c>
    </row>
    <row r="18" spans="2:12">
      <c r="B18" s="1" t="s">
        <v>128</v>
      </c>
      <c r="C18" s="48">
        <f>C9/'Income Statement'!C$7</f>
        <v>5.1908408597066023E-3</v>
      </c>
      <c r="D18" s="48">
        <f>D9/'Income Statement'!D$7</f>
        <v>5.3214085946112029E-3</v>
      </c>
      <c r="E18" s="48">
        <f>E9/'Income Statement'!E$7</f>
        <v>5.7986693233985174E-3</v>
      </c>
      <c r="F18" s="48">
        <f>F9/'Income Statement'!F$7</f>
        <v>1.0985218625258954E-2</v>
      </c>
      <c r="G18" s="48">
        <f>G9/'Income Statement'!G$7</f>
        <v>5.6365129907860207E-3</v>
      </c>
      <c r="H18" s="91">
        <f t="shared" si="1"/>
        <v>6.5865300787522592E-3</v>
      </c>
      <c r="I18" s="91">
        <f t="shared" si="0"/>
        <v>6.5865300787522592E-3</v>
      </c>
      <c r="J18" s="91">
        <f t="shared" si="0"/>
        <v>6.5865300787522592E-3</v>
      </c>
      <c r="K18" s="91">
        <f t="shared" si="0"/>
        <v>6.5865300787522592E-3</v>
      </c>
      <c r="L18" s="91">
        <f t="shared" si="0"/>
        <v>6.5865300787522592E-3</v>
      </c>
    </row>
    <row r="19" spans="2:12">
      <c r="B19" s="1" t="s">
        <v>130</v>
      </c>
      <c r="C19" s="48">
        <f>C10/'Income Statement'!C$7</f>
        <v>2.7858772008489921E-4</v>
      </c>
      <c r="D19" s="48">
        <f>D10/'Income Statement'!D$7</f>
        <v>6.1675693611902162E-5</v>
      </c>
      <c r="E19" s="48">
        <f>E10/'Income Statement'!E$7</f>
        <v>3.8772055700397352E-5</v>
      </c>
      <c r="F19" s="48">
        <f>F10/'Income Statement'!F$7</f>
        <v>5.0278319100956761E-5</v>
      </c>
      <c r="G19" s="48">
        <f>G10/'Income Statement'!G$7</f>
        <v>1.3615738343864641E-5</v>
      </c>
      <c r="H19" s="91">
        <f t="shared" si="1"/>
        <v>8.8585905368404033E-5</v>
      </c>
      <c r="I19" s="91">
        <f t="shared" si="0"/>
        <v>8.8585905368404033E-5</v>
      </c>
      <c r="J19" s="91">
        <f t="shared" si="0"/>
        <v>8.8585905368404033E-5</v>
      </c>
      <c r="K19" s="91">
        <f t="shared" si="0"/>
        <v>8.8585905368404033E-5</v>
      </c>
      <c r="L19" s="91">
        <f t="shared" si="0"/>
        <v>8.8585905368404033E-5</v>
      </c>
    </row>
    <row r="20" spans="2:12">
      <c r="B20" s="1" t="s">
        <v>131</v>
      </c>
      <c r="C20" s="48">
        <f>C11/'Income Statement'!C$7</f>
        <v>5.1374740079738364E-2</v>
      </c>
      <c r="D20" s="48">
        <f>D11/'Income Statement'!D$7</f>
        <v>6.6331368323881632E-2</v>
      </c>
      <c r="E20" s="48">
        <f>E11/'Income Statement'!E$7</f>
        <v>7.8755033112263478E-2</v>
      </c>
      <c r="F20" s="48">
        <f>F11/'Income Statement'!F$7</f>
        <v>4.6482008959684476E-2</v>
      </c>
      <c r="G20" s="48">
        <f>G11/'Income Statement'!G$7</f>
        <v>3.9922838109131158E-2</v>
      </c>
      <c r="H20" s="91">
        <f t="shared" si="1"/>
        <v>5.6573197716939826E-2</v>
      </c>
      <c r="I20" s="91">
        <f t="shared" si="0"/>
        <v>5.6573197716939826E-2</v>
      </c>
      <c r="J20" s="91">
        <f t="shared" si="0"/>
        <v>5.6573197716939826E-2</v>
      </c>
      <c r="K20" s="91">
        <f t="shared" si="0"/>
        <v>5.6573197716939826E-2</v>
      </c>
      <c r="L20" s="91">
        <f t="shared" si="0"/>
        <v>5.6573197716939826E-2</v>
      </c>
    </row>
  </sheetData>
  <mergeCells count="2">
    <mergeCell ref="C4:L4"/>
    <mergeCell ref="M5:M1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D7D42-5E21-4243-8C14-6E7F6282B1E4}">
  <dimension ref="B1:M12"/>
  <sheetViews>
    <sheetView zoomScaleNormal="100" workbookViewId="0">
      <selection activeCell="I15" sqref="I15"/>
    </sheetView>
  </sheetViews>
  <sheetFormatPr defaultRowHeight="12"/>
  <cols>
    <col min="1" max="1" width="2" style="1" customWidth="1"/>
    <col min="2" max="2" width="19.42578125" style="1" bestFit="1" customWidth="1"/>
    <col min="3" max="12" width="11.7109375" style="1" customWidth="1"/>
    <col min="13" max="13" width="10.7109375" style="1" bestFit="1" customWidth="1"/>
    <col min="14" max="16384" width="9.140625" style="1"/>
  </cols>
  <sheetData>
    <row r="1" spans="2:13" ht="15.75">
      <c r="B1" s="2" t="s">
        <v>28</v>
      </c>
    </row>
    <row r="3" spans="2:13">
      <c r="B3" s="11"/>
      <c r="C3" s="44" t="s">
        <v>101</v>
      </c>
      <c r="D3" s="44" t="s">
        <v>102</v>
      </c>
      <c r="E3" s="44" t="s">
        <v>103</v>
      </c>
      <c r="F3" s="44" t="s">
        <v>104</v>
      </c>
      <c r="G3" s="44" t="s">
        <v>105</v>
      </c>
      <c r="H3" s="44" t="s">
        <v>106</v>
      </c>
      <c r="I3" s="44" t="s">
        <v>107</v>
      </c>
      <c r="J3" s="44" t="s">
        <v>108</v>
      </c>
      <c r="K3" s="44" t="s">
        <v>109</v>
      </c>
      <c r="L3" s="44" t="s">
        <v>110</v>
      </c>
    </row>
    <row r="4" spans="2:13" ht="15.75" customHeight="1" thickBot="1">
      <c r="B4" s="17"/>
      <c r="C4" s="270" t="s">
        <v>72</v>
      </c>
      <c r="D4" s="270"/>
      <c r="E4" s="270"/>
      <c r="F4" s="270"/>
      <c r="G4" s="270"/>
      <c r="H4" s="270"/>
      <c r="I4" s="270"/>
      <c r="J4" s="270"/>
      <c r="K4" s="270"/>
      <c r="L4" s="270"/>
      <c r="M4" s="89" t="s">
        <v>73</v>
      </c>
    </row>
    <row r="5" spans="2:13" ht="12" customHeight="1">
      <c r="B5" s="1" t="s">
        <v>145</v>
      </c>
      <c r="C5" s="3">
        <v>2482623</v>
      </c>
      <c r="D5" s="3">
        <v>3140682</v>
      </c>
      <c r="E5" s="3">
        <v>3816001</v>
      </c>
      <c r="F5" s="3">
        <v>5048654</v>
      </c>
      <c r="G5" s="3">
        <v>7999204</v>
      </c>
      <c r="H5" s="71">
        <f>H10*'Income Statement'!H$7</f>
        <v>12178267.726409908</v>
      </c>
      <c r="I5" s="71">
        <f>I10*'Income Statement'!I$7</f>
        <v>23923753.511788882</v>
      </c>
      <c r="J5" s="71">
        <f>J10*'Income Statement'!J$7</f>
        <v>35861188.048242323</v>
      </c>
      <c r="K5" s="71">
        <f>K10*'Income Statement'!K$7</f>
        <v>53576406.141262308</v>
      </c>
      <c r="L5" s="71">
        <f>L10*'Income Statement'!L$7</f>
        <v>80150239.514164582</v>
      </c>
      <c r="M5" s="279" t="s">
        <v>119</v>
      </c>
    </row>
    <row r="6" spans="2:13">
      <c r="B6" s="1" t="s">
        <v>149</v>
      </c>
      <c r="C6" s="3">
        <v>110483</v>
      </c>
      <c r="D6" s="3">
        <v>191136</v>
      </c>
      <c r="E6" s="3">
        <v>221674</v>
      </c>
      <c r="F6" s="3">
        <v>702689</v>
      </c>
      <c r="G6" s="3">
        <v>1830013</v>
      </c>
      <c r="H6" s="71">
        <f>H11*'Income Statement'!H$7</f>
        <v>1247698.1865715797</v>
      </c>
      <c r="I6" s="71">
        <f>I11*'Income Statement'!I$7</f>
        <v>2451056.6316350778</v>
      </c>
      <c r="J6" s="71">
        <f>J11*'Income Statement'!J$7</f>
        <v>3674080.7725110371</v>
      </c>
      <c r="K6" s="71">
        <f>K11*'Income Statement'!K$7</f>
        <v>5489055.2816891996</v>
      </c>
      <c r="L6" s="71">
        <f>L11*'Income Statement'!L$7</f>
        <v>8211620.1369290631</v>
      </c>
      <c r="M6" s="280"/>
    </row>
    <row r="7" spans="2:13">
      <c r="B7" s="1" t="s">
        <v>150</v>
      </c>
      <c r="C7" s="3">
        <v>11726000</v>
      </c>
      <c r="D7" s="3">
        <v>14354861</v>
      </c>
      <c r="E7" s="3">
        <v>19636066</v>
      </c>
      <c r="F7" s="3">
        <v>35007908</v>
      </c>
      <c r="G7" s="3">
        <v>42148912</v>
      </c>
      <c r="H7" s="71">
        <f>H12*'Income Statement'!H$7</f>
        <v>63721081.329356655</v>
      </c>
      <c r="I7" s="71">
        <f>I12*'Income Statement'!I$7</f>
        <v>125177691.72722732</v>
      </c>
      <c r="J7" s="71">
        <f>J12*'Income Statement'!J$7</f>
        <v>187638647.09870702</v>
      </c>
      <c r="K7" s="71">
        <f>K12*'Income Statement'!K$7</f>
        <v>280331046.23398137</v>
      </c>
      <c r="L7" s="71">
        <f>L12*'Income Statement'!L$7</f>
        <v>419374909.91217446</v>
      </c>
      <c r="M7" s="280"/>
    </row>
    <row r="8" spans="2:13">
      <c r="M8" s="209"/>
    </row>
    <row r="9" spans="2:13">
      <c r="B9" s="210" t="s">
        <v>331</v>
      </c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209"/>
    </row>
    <row r="10" spans="2:13">
      <c r="B10" s="184" t="s">
        <v>145</v>
      </c>
      <c r="C10" s="186">
        <f>C5/'Income Statement'!C$7</f>
        <v>6.6241574695942218E-2</v>
      </c>
      <c r="D10" s="186">
        <f>D5/'Income Statement'!D$7</f>
        <v>8.6513506370887047E-2</v>
      </c>
      <c r="E10" s="186">
        <f>E5/'Income Statement'!E$7</f>
        <v>6.9429471292713277E-2</v>
      </c>
      <c r="F10" s="186">
        <f>F5/'Income Statement'!F$7</f>
        <v>5.5544384429392073E-2</v>
      </c>
      <c r="G10" s="186">
        <f>G5/'Income Statement'!G$7</f>
        <v>6.7107251154156139E-2</v>
      </c>
      <c r="H10" s="186">
        <f>AVERAGE($C10:$G10)</f>
        <v>6.8967237588618155E-2</v>
      </c>
      <c r="I10" s="186">
        <f t="shared" ref="I10:L12" si="0">AVERAGE($C10:$G10)</f>
        <v>6.8967237588618155E-2</v>
      </c>
      <c r="J10" s="186">
        <f t="shared" si="0"/>
        <v>6.8967237588618155E-2</v>
      </c>
      <c r="K10" s="186">
        <f t="shared" si="0"/>
        <v>6.8967237588618155E-2</v>
      </c>
      <c r="L10" s="186">
        <f t="shared" si="0"/>
        <v>6.8967237588618155E-2</v>
      </c>
      <c r="M10" s="209"/>
    </row>
    <row r="11" spans="2:13">
      <c r="B11" s="184" t="s">
        <v>149</v>
      </c>
      <c r="C11" s="186">
        <f>C6/'Income Statement'!C$7</f>
        <v>2.9479175441183719E-3</v>
      </c>
      <c r="D11" s="186">
        <f>D6/'Income Statement'!D$7</f>
        <v>5.2650492962056858E-3</v>
      </c>
      <c r="E11" s="186">
        <f>E6/'Income Statement'!E$7</f>
        <v>4.0332035078976458E-3</v>
      </c>
      <c r="F11" s="186">
        <f>F6/'Income Statement'!F$7</f>
        <v>7.7308581555212705E-3</v>
      </c>
      <c r="G11" s="186">
        <f>G6/'Income Statement'!G$7</f>
        <v>1.5352420316617845E-2</v>
      </c>
      <c r="H11" s="186">
        <f>AVERAGE($C11:$G11)</f>
        <v>7.0658897640721637E-3</v>
      </c>
      <c r="I11" s="186">
        <f t="shared" si="0"/>
        <v>7.0658897640721637E-3</v>
      </c>
      <c r="J11" s="186">
        <f t="shared" si="0"/>
        <v>7.0658897640721637E-3</v>
      </c>
      <c r="K11" s="186">
        <f t="shared" si="0"/>
        <v>7.0658897640721637E-3</v>
      </c>
      <c r="L11" s="186">
        <f t="shared" si="0"/>
        <v>7.0658897640721637E-3</v>
      </c>
      <c r="M11" s="209"/>
    </row>
    <row r="12" spans="2:13">
      <c r="B12" s="184" t="s">
        <v>150</v>
      </c>
      <c r="C12" s="186">
        <f>C7/'Income Statement'!C$7</f>
        <v>0.3128742079988055</v>
      </c>
      <c r="D12" s="186">
        <f>D7/'Income Statement'!D$7</f>
        <v>0.39542028087424896</v>
      </c>
      <c r="E12" s="186">
        <f>E7/'Income Statement'!E$7</f>
        <v>0.35726449774222369</v>
      </c>
      <c r="F12" s="186">
        <f>F7/'Income Statement'!F$7</f>
        <v>0.38515071542252455</v>
      </c>
      <c r="G12" s="186">
        <f>G7/'Income Statement'!G$7</f>
        <v>0.35359738587219747</v>
      </c>
      <c r="H12" s="186">
        <f>AVERAGE($C12:$G12)</f>
        <v>0.36086141758200008</v>
      </c>
      <c r="I12" s="186">
        <f t="shared" si="0"/>
        <v>0.36086141758200008</v>
      </c>
      <c r="J12" s="186">
        <f t="shared" si="0"/>
        <v>0.36086141758200008</v>
      </c>
      <c r="K12" s="186">
        <f>AVERAGE($C12:$G12)</f>
        <v>0.36086141758200008</v>
      </c>
      <c r="L12" s="186">
        <f t="shared" si="0"/>
        <v>0.36086141758200008</v>
      </c>
    </row>
  </sheetData>
  <mergeCells count="2">
    <mergeCell ref="C4:L4"/>
    <mergeCell ref="M5:M7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0E997-782A-4E67-B84F-53B700A856D9}">
  <dimension ref="B1:M7"/>
  <sheetViews>
    <sheetView workbookViewId="0">
      <selection activeCell="I14" sqref="I14"/>
    </sheetView>
  </sheetViews>
  <sheetFormatPr defaultRowHeight="12"/>
  <cols>
    <col min="1" max="1" width="2" style="1" customWidth="1"/>
    <col min="2" max="2" width="14.7109375" style="1" customWidth="1"/>
    <col min="3" max="8" width="11.7109375" style="1" customWidth="1"/>
    <col min="9" max="11" width="14.5703125" style="1" bestFit="1" customWidth="1"/>
    <col min="12" max="12" width="15.5703125" style="1" bestFit="1" customWidth="1"/>
    <col min="13" max="13" width="29.7109375" style="1" customWidth="1"/>
    <col min="14" max="16384" width="9.140625" style="1"/>
  </cols>
  <sheetData>
    <row r="1" spans="2:13" ht="15.75">
      <c r="B1" s="2" t="s">
        <v>30</v>
      </c>
    </row>
    <row r="3" spans="2:13">
      <c r="B3" s="11"/>
      <c r="C3" s="39" t="s">
        <v>62</v>
      </c>
      <c r="D3" s="39" t="s">
        <v>63</v>
      </c>
      <c r="E3" s="39" t="s">
        <v>64</v>
      </c>
      <c r="F3" s="40" t="s">
        <v>65</v>
      </c>
      <c r="G3" s="40" t="s">
        <v>66</v>
      </c>
      <c r="H3" s="39" t="s">
        <v>67</v>
      </c>
      <c r="I3" s="39" t="s">
        <v>68</v>
      </c>
      <c r="J3" s="39" t="s">
        <v>69</v>
      </c>
      <c r="K3" s="39" t="s">
        <v>70</v>
      </c>
      <c r="L3" s="39" t="s">
        <v>71</v>
      </c>
    </row>
    <row r="4" spans="2:13" ht="12.75" thickBot="1">
      <c r="B4" s="17"/>
      <c r="C4" s="270" t="s">
        <v>72</v>
      </c>
      <c r="D4" s="270"/>
      <c r="E4" s="270"/>
      <c r="F4" s="270"/>
      <c r="G4" s="270"/>
      <c r="H4" s="270"/>
      <c r="I4" s="270"/>
      <c r="J4" s="270"/>
      <c r="K4" s="270"/>
      <c r="L4" s="270"/>
      <c r="M4" s="211" t="s">
        <v>73</v>
      </c>
    </row>
    <row r="5" spans="2:13">
      <c r="B5" s="1" t="s">
        <v>332</v>
      </c>
      <c r="C5" s="20">
        <f>-'Cash Flow'!C74</f>
        <v>1434588</v>
      </c>
      <c r="D5" s="20">
        <f>-'Cash Flow'!D74</f>
        <v>2526526</v>
      </c>
      <c r="E5" s="20">
        <f>-'Cash Flow'!E74</f>
        <v>2179442</v>
      </c>
      <c r="F5" s="20">
        <f>-'Cash Flow'!F74</f>
        <v>2669922</v>
      </c>
      <c r="G5" s="20">
        <f>-'Cash Flow'!G74</f>
        <v>4598553</v>
      </c>
      <c r="H5" s="212">
        <f>H7*'Income Statement'!H35</f>
        <v>3317514.8391179936</v>
      </c>
      <c r="I5" s="212">
        <f>I7*'Income Statement'!I35</f>
        <v>13127071.885192407</v>
      </c>
      <c r="J5" s="212">
        <f>J7*'Income Statement'!J35</f>
        <v>17682285.983840559</v>
      </c>
      <c r="K5" s="212">
        <f>K7*'Income Statement'!K35</f>
        <v>21277299.939109273</v>
      </c>
      <c r="L5" s="212">
        <f>L7*'Income Statement'!L35</f>
        <v>23761461.323341064</v>
      </c>
    </row>
    <row r="7" spans="2:13" ht="36">
      <c r="B7" s="87" t="s">
        <v>333</v>
      </c>
      <c r="C7" s="268">
        <f>C5/'Income Statement'!C35</f>
        <v>0.28680620447018379</v>
      </c>
      <c r="D7" s="268">
        <f>D5/'Income Statement'!D35</f>
        <v>1.4043136692534897</v>
      </c>
      <c r="E7" s="268">
        <f>E5/'Income Statement'!E35</f>
        <v>0.35039722388623129</v>
      </c>
      <c r="F7" s="268">
        <f>F5/'Income Statement'!F35</f>
        <v>0.22072083578758098</v>
      </c>
      <c r="G7" s="268">
        <f>G5/'Income Statement'!G35</f>
        <v>0.24878575986956927</v>
      </c>
      <c r="H7" s="269">
        <v>0.22</v>
      </c>
      <c r="I7" s="269">
        <v>0.2</v>
      </c>
      <c r="J7" s="269">
        <v>0.21</v>
      </c>
      <c r="K7" s="269">
        <v>0.21</v>
      </c>
      <c r="L7" s="269">
        <v>0.21</v>
      </c>
      <c r="M7" s="10" t="s">
        <v>334</v>
      </c>
    </row>
  </sheetData>
  <mergeCells count="1">
    <mergeCell ref="C4:L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D16A0-D24D-43D2-A378-669A554963C7}">
  <dimension ref="A1:L37"/>
  <sheetViews>
    <sheetView topLeftCell="A14" zoomScaleNormal="100" workbookViewId="0">
      <selection activeCell="F27" sqref="F27"/>
    </sheetView>
  </sheetViews>
  <sheetFormatPr defaultColWidth="9.140625" defaultRowHeight="12"/>
  <cols>
    <col min="1" max="1" width="2" style="32" customWidth="1"/>
    <col min="2" max="2" width="36.5703125" style="32" customWidth="1"/>
    <col min="3" max="7" width="13.28515625" style="32" customWidth="1"/>
    <col min="8" max="8" width="13.85546875" style="32" bestFit="1" customWidth="1"/>
    <col min="9" max="9" width="13.140625" style="32" bestFit="1" customWidth="1"/>
    <col min="10" max="11" width="14.140625" style="32" bestFit="1" customWidth="1"/>
    <col min="12" max="12" width="15" style="32" bestFit="1" customWidth="1"/>
    <col min="13" max="16384" width="9.140625" style="32"/>
  </cols>
  <sheetData>
    <row r="1" spans="2:12" ht="15.75">
      <c r="B1" s="63" t="s">
        <v>32</v>
      </c>
      <c r="C1" s="97"/>
    </row>
    <row r="3" spans="2:12">
      <c r="B3" s="32" t="s">
        <v>335</v>
      </c>
    </row>
    <row r="4" spans="2:12">
      <c r="B4" s="32" t="s">
        <v>336</v>
      </c>
      <c r="C4" s="98">
        <f>AVERAGE(C10:G10)</f>
        <v>0.63641612780898693</v>
      </c>
    </row>
    <row r="5" spans="2:12">
      <c r="B5" s="32" t="s">
        <v>141</v>
      </c>
      <c r="C5" s="98">
        <f>AVERAGE(C11:G11)</f>
        <v>0.36358387219101307</v>
      </c>
    </row>
    <row r="6" spans="2:12">
      <c r="C6" s="99"/>
    </row>
    <row r="7" spans="2:12" ht="12.75" customHeight="1">
      <c r="C7" s="100"/>
    </row>
    <row r="8" spans="2:12" s="1" customFormat="1">
      <c r="B8" s="11"/>
      <c r="C8" s="44" t="s">
        <v>101</v>
      </c>
      <c r="D8" s="44" t="s">
        <v>102</v>
      </c>
      <c r="E8" s="44" t="s">
        <v>103</v>
      </c>
      <c r="F8" s="44" t="s">
        <v>104</v>
      </c>
      <c r="G8" s="44" t="s">
        <v>105</v>
      </c>
      <c r="H8" s="44" t="s">
        <v>106</v>
      </c>
      <c r="I8" s="44" t="s">
        <v>107</v>
      </c>
      <c r="J8" s="44" t="s">
        <v>108</v>
      </c>
      <c r="K8" s="44" t="s">
        <v>109</v>
      </c>
      <c r="L8" s="44" t="s">
        <v>110</v>
      </c>
    </row>
    <row r="9" spans="2:12" s="1" customFormat="1" ht="15.75" customHeight="1" thickBot="1">
      <c r="B9" s="112" t="s">
        <v>337</v>
      </c>
      <c r="C9" s="270" t="s">
        <v>72</v>
      </c>
      <c r="D9" s="270"/>
      <c r="E9" s="270"/>
      <c r="F9" s="270"/>
      <c r="G9" s="270"/>
      <c r="H9" s="270"/>
      <c r="I9" s="270"/>
      <c r="J9" s="270"/>
      <c r="K9" s="270"/>
      <c r="L9" s="270"/>
    </row>
    <row r="10" spans="2:12" ht="12.75" customHeight="1">
      <c r="B10" s="32" t="s">
        <v>338</v>
      </c>
      <c r="C10" s="100">
        <f>'Financial Position'!C51/'Financial Position'!C28</f>
        <v>0.5615832645581248</v>
      </c>
      <c r="D10" s="100">
        <f>'Financial Position'!D51/'Financial Position'!D28</f>
        <v>0.61911595015875853</v>
      </c>
      <c r="E10" s="100">
        <f>'Financial Position'!E51/'Financial Position'!E28</f>
        <v>0.66200401322425451</v>
      </c>
      <c r="F10" s="100">
        <f>'Financial Position'!F51/'Financial Position'!F28</f>
        <v>0.68914390026198269</v>
      </c>
      <c r="G10" s="100">
        <f>'Financial Position'!G51/'Financial Position'!G28</f>
        <v>0.65023351084181435</v>
      </c>
    </row>
    <row r="11" spans="2:12" ht="12.75" customHeight="1">
      <c r="B11" s="32" t="s">
        <v>339</v>
      </c>
      <c r="C11" s="100">
        <f>'Financial Position'!C36/'Financial Position'!C$28</f>
        <v>0.4384167354418752</v>
      </c>
      <c r="D11" s="100">
        <f>'Financial Position'!D36/'Financial Position'!D$28</f>
        <v>0.38088404984124147</v>
      </c>
      <c r="E11" s="100">
        <f>'Financial Position'!E36/'Financial Position'!E$28</f>
        <v>0.33799598677574544</v>
      </c>
      <c r="F11" s="100">
        <f>'Financial Position'!F36/'Financial Position'!F$28</f>
        <v>0.31085609973801731</v>
      </c>
      <c r="G11" s="100">
        <f>'Financial Position'!G36/'Financial Position'!G$28</f>
        <v>0.34976648915818565</v>
      </c>
    </row>
    <row r="12" spans="2:12" ht="12.75" customHeight="1"/>
    <row r="13" spans="2:12" ht="12.75" customHeight="1">
      <c r="C13" s="100"/>
    </row>
    <row r="14" spans="2:12" s="1" customFormat="1">
      <c r="B14" s="11"/>
      <c r="C14" s="44" t="s">
        <v>101</v>
      </c>
      <c r="D14" s="44" t="s">
        <v>102</v>
      </c>
      <c r="E14" s="44" t="s">
        <v>103</v>
      </c>
      <c r="F14" s="44" t="s">
        <v>104</v>
      </c>
      <c r="G14" s="44" t="s">
        <v>105</v>
      </c>
      <c r="H14" s="44" t="s">
        <v>106</v>
      </c>
      <c r="I14" s="44" t="s">
        <v>107</v>
      </c>
      <c r="J14" s="44" t="s">
        <v>108</v>
      </c>
      <c r="K14" s="44" t="s">
        <v>109</v>
      </c>
      <c r="L14" s="44" t="s">
        <v>110</v>
      </c>
    </row>
    <row r="15" spans="2:12" s="1" customFormat="1" ht="15.75" customHeight="1" thickBot="1">
      <c r="B15" s="17"/>
      <c r="C15" s="270" t="s">
        <v>72</v>
      </c>
      <c r="D15" s="270"/>
      <c r="E15" s="270"/>
      <c r="F15" s="270"/>
      <c r="G15" s="270"/>
      <c r="H15" s="270"/>
      <c r="I15" s="270"/>
      <c r="J15" s="270"/>
      <c r="K15" s="270"/>
      <c r="L15" s="270"/>
    </row>
    <row r="16" spans="2:12">
      <c r="C16" s="99"/>
    </row>
    <row r="17" spans="1:12" s="104" customFormat="1">
      <c r="A17" s="32"/>
      <c r="B17" s="31" t="s">
        <v>340</v>
      </c>
      <c r="C17" s="101">
        <f>'Financial Position'!C38+'Financial Position'!C48</f>
        <v>4875936</v>
      </c>
      <c r="D17" s="101">
        <f>'Financial Position'!D38+'Financial Position'!D48</f>
        <v>7264617</v>
      </c>
      <c r="E17" s="101">
        <f>'Financial Position'!E38+'Financial Position'!E48</f>
        <v>10764798</v>
      </c>
      <c r="F17" s="101">
        <f>'Financial Position'!F38+'Financial Position'!F48</f>
        <v>16340086</v>
      </c>
      <c r="G17" s="101">
        <f>'Financial Position'!G38+'Financial Position'!G48</f>
        <v>17395192</v>
      </c>
      <c r="H17" s="102">
        <f>G17+H25</f>
        <v>20344406.162868593</v>
      </c>
      <c r="I17" s="102">
        <f>H17+I25</f>
        <v>20344406.162868593</v>
      </c>
      <c r="J17" s="102">
        <f>I17+J25</f>
        <v>20344406.162868593</v>
      </c>
      <c r="K17" s="102">
        <f>J17+K25</f>
        <v>20344406.162868593</v>
      </c>
      <c r="L17" s="102">
        <f>K17+L25</f>
        <v>20344406.162868593</v>
      </c>
    </row>
    <row r="18" spans="1:12" s="104" customFormat="1">
      <c r="A18" s="32"/>
      <c r="B18" s="32" t="s">
        <v>241</v>
      </c>
      <c r="C18" s="101">
        <f>'Income Statement'!C19</f>
        <v>-995707</v>
      </c>
      <c r="D18" s="101">
        <f>'Income Statement'!D19</f>
        <v>-1137162</v>
      </c>
      <c r="E18" s="101">
        <f>'Income Statement'!E19</f>
        <v>-1147038</v>
      </c>
      <c r="F18" s="101">
        <f>'Income Statement'!F19</f>
        <v>-2492950</v>
      </c>
      <c r="G18" s="101">
        <f>'Income Statement'!G19</f>
        <v>-5527536</v>
      </c>
      <c r="H18" s="105">
        <f>-(H17-G32)*H19</f>
        <v>-3017359.1903570308</v>
      </c>
      <c r="I18" s="105">
        <f>-(I17-H32)*I19</f>
        <v>-2828163.5740784337</v>
      </c>
      <c r="J18" s="105">
        <f>-(J17-I32)*J19</f>
        <v>-2828163.5740784337</v>
      </c>
      <c r="K18" s="105">
        <f>-(K17-J32)*K19</f>
        <v>-2828163.5740784337</v>
      </c>
      <c r="L18" s="105">
        <f>-(L17-K32)*L19</f>
        <v>-2828163.5740784337</v>
      </c>
    </row>
    <row r="19" spans="1:12">
      <c r="B19" s="32" t="s">
        <v>341</v>
      </c>
      <c r="C19" s="106">
        <f>-C18/C17</f>
        <v>0.20420838173429676</v>
      </c>
      <c r="D19" s="106">
        <f>-D18/D17</f>
        <v>0.15653433622171686</v>
      </c>
      <c r="E19" s="106">
        <f>-E18/E17</f>
        <v>0.10655453079565451</v>
      </c>
      <c r="F19" s="106">
        <f>-F18/F17</f>
        <v>0.15256651647977862</v>
      </c>
      <c r="G19" s="106">
        <f>-G18/G17</f>
        <v>0.31776228741827051</v>
      </c>
      <c r="H19" s="107">
        <f>Drivers!$C$6</f>
        <v>0.16489999999999999</v>
      </c>
      <c r="I19" s="107">
        <f>Drivers!$C$6</f>
        <v>0.16489999999999999</v>
      </c>
      <c r="J19" s="107">
        <f>Drivers!$C$6</f>
        <v>0.16489999999999999</v>
      </c>
      <c r="K19" s="107">
        <f>Drivers!$C$6</f>
        <v>0.16489999999999999</v>
      </c>
      <c r="L19" s="107">
        <f>Drivers!$C$6</f>
        <v>0.16489999999999999</v>
      </c>
    </row>
    <row r="20" spans="1:12">
      <c r="C20" s="106"/>
      <c r="D20" s="106"/>
      <c r="E20" s="106"/>
      <c r="F20" s="106"/>
      <c r="G20" s="106"/>
      <c r="H20" s="100"/>
      <c r="I20" s="100"/>
      <c r="J20" s="100"/>
      <c r="K20" s="100"/>
      <c r="L20" s="100"/>
    </row>
    <row r="21" spans="1:12">
      <c r="C21" s="106"/>
      <c r="D21" s="106"/>
      <c r="E21" s="106"/>
      <c r="F21" s="106"/>
      <c r="G21" s="106"/>
      <c r="H21" s="100"/>
      <c r="I21" s="100"/>
      <c r="J21" s="100"/>
      <c r="K21" s="100"/>
      <c r="L21" s="100"/>
    </row>
    <row r="22" spans="1:12" s="1" customFormat="1">
      <c r="B22" s="11"/>
      <c r="C22" s="44" t="s">
        <v>101</v>
      </c>
      <c r="D22" s="44" t="s">
        <v>102</v>
      </c>
      <c r="E22" s="44" t="s">
        <v>103</v>
      </c>
      <c r="F22" s="44" t="s">
        <v>104</v>
      </c>
      <c r="G22" s="44" t="s">
        <v>105</v>
      </c>
      <c r="H22" s="44" t="s">
        <v>106</v>
      </c>
      <c r="I22" s="44" t="s">
        <v>107</v>
      </c>
      <c r="J22" s="44" t="s">
        <v>108</v>
      </c>
      <c r="K22" s="44" t="s">
        <v>109</v>
      </c>
      <c r="L22" s="44" t="s">
        <v>110</v>
      </c>
    </row>
    <row r="23" spans="1:12" s="1" customFormat="1" ht="15.75" customHeight="1" thickBot="1">
      <c r="B23" s="17"/>
      <c r="C23" s="270" t="s">
        <v>72</v>
      </c>
      <c r="D23" s="270"/>
      <c r="E23" s="270"/>
      <c r="F23" s="270"/>
      <c r="G23" s="270"/>
      <c r="H23" s="270"/>
      <c r="I23" s="270"/>
      <c r="J23" s="270"/>
      <c r="K23" s="270"/>
      <c r="L23" s="270"/>
    </row>
    <row r="24" spans="1:12">
      <c r="B24" s="108" t="s">
        <v>240</v>
      </c>
      <c r="C24" s="108"/>
      <c r="D24" s="108"/>
      <c r="E24" s="108"/>
      <c r="F24" s="108"/>
      <c r="G24" s="109"/>
      <c r="H24" s="110">
        <f>'DCF Valuation'!H25</f>
        <v>-4634097.1480750516</v>
      </c>
      <c r="I24" s="110">
        <f>'DCF Valuation'!I25</f>
        <v>44143536.74650985</v>
      </c>
      <c r="J24" s="110">
        <f>'DCF Valuation'!J25</f>
        <v>50495051.395480253</v>
      </c>
      <c r="K24" s="110">
        <f>'DCF Valuation'!K25</f>
        <v>53509692.797975242</v>
      </c>
      <c r="L24" s="110">
        <f>'DCF Valuation'!L25</f>
        <v>45527524.635192588</v>
      </c>
    </row>
    <row r="25" spans="1:12">
      <c r="B25" s="32" t="s">
        <v>342</v>
      </c>
      <c r="G25" s="104"/>
      <c r="H25" s="103">
        <f>-IF(H$24&lt;0,H$24*$C4,0)</f>
        <v>2949214.1628685938</v>
      </c>
      <c r="I25" s="103">
        <f t="shared" ref="H25:L26" si="0">-IF(I$24&lt;0,I$24*$C4,0)</f>
        <v>0</v>
      </c>
      <c r="J25" s="103">
        <f t="shared" si="0"/>
        <v>0</v>
      </c>
      <c r="K25" s="103">
        <f t="shared" si="0"/>
        <v>0</v>
      </c>
      <c r="L25" s="103">
        <f t="shared" si="0"/>
        <v>0</v>
      </c>
    </row>
    <row r="26" spans="1:12">
      <c r="B26" s="32" t="s">
        <v>343</v>
      </c>
      <c r="G26" s="104"/>
      <c r="H26" s="103">
        <f t="shared" si="0"/>
        <v>1684882.9852064578</v>
      </c>
      <c r="I26" s="103">
        <f t="shared" si="0"/>
        <v>0</v>
      </c>
      <c r="J26" s="103">
        <f t="shared" si="0"/>
        <v>0</v>
      </c>
      <c r="K26" s="103">
        <f t="shared" si="0"/>
        <v>0</v>
      </c>
      <c r="L26" s="103">
        <f t="shared" si="0"/>
        <v>0</v>
      </c>
    </row>
    <row r="27" spans="1:12">
      <c r="H27" s="121">
        <f>H25+H26</f>
        <v>4634097.1480750516</v>
      </c>
      <c r="I27" s="121">
        <f>I25+I26</f>
        <v>0</v>
      </c>
      <c r="J27" s="121">
        <f>J25+J26</f>
        <v>0</v>
      </c>
      <c r="K27" s="121">
        <f>K25+K26</f>
        <v>0</v>
      </c>
      <c r="L27" s="121">
        <f>L25+L26</f>
        <v>0</v>
      </c>
    </row>
    <row r="28" spans="1:12">
      <c r="I28" s="111"/>
    </row>
    <row r="29" spans="1:12" s="1" customFormat="1">
      <c r="B29" s="11"/>
      <c r="C29" s="44" t="s">
        <v>101</v>
      </c>
      <c r="D29" s="44" t="s">
        <v>102</v>
      </c>
      <c r="E29" s="44" t="s">
        <v>103</v>
      </c>
      <c r="F29" s="44" t="s">
        <v>104</v>
      </c>
      <c r="G29" s="44" t="s">
        <v>105</v>
      </c>
      <c r="H29" s="44" t="s">
        <v>106</v>
      </c>
      <c r="I29" s="44" t="s">
        <v>107</v>
      </c>
      <c r="J29" s="44" t="s">
        <v>108</v>
      </c>
      <c r="K29" s="44" t="s">
        <v>109</v>
      </c>
      <c r="L29" s="44" t="s">
        <v>110</v>
      </c>
    </row>
    <row r="30" spans="1:12" s="1" customFormat="1" ht="15.75" customHeight="1" thickBot="1">
      <c r="B30" s="112" t="s">
        <v>344</v>
      </c>
      <c r="C30" s="270" t="s">
        <v>72</v>
      </c>
      <c r="D30" s="270"/>
      <c r="E30" s="270"/>
      <c r="F30" s="270"/>
      <c r="G30" s="270"/>
      <c r="H30" s="270"/>
      <c r="I30" s="270"/>
      <c r="J30" s="270"/>
      <c r="K30" s="270"/>
      <c r="L30" s="270"/>
    </row>
    <row r="31" spans="1:12" s="1" customFormat="1">
      <c r="B31" s="1" t="s">
        <v>143</v>
      </c>
      <c r="C31" s="3">
        <v>3628745</v>
      </c>
      <c r="D31" s="3">
        <v>6861130</v>
      </c>
      <c r="E31" s="3">
        <v>8213978</v>
      </c>
      <c r="F31" s="3">
        <v>14396116</v>
      </c>
      <c r="G31" s="3">
        <v>15348901</v>
      </c>
      <c r="H31" s="71">
        <f t="shared" ref="H31:L32" si="1">H$33*H36</f>
        <v>17150779.709390137</v>
      </c>
      <c r="I31" s="71">
        <f t="shared" si="1"/>
        <v>17150779.709390137</v>
      </c>
      <c r="J31" s="71">
        <f t="shared" si="1"/>
        <v>17150779.709390137</v>
      </c>
      <c r="K31" s="71">
        <f t="shared" si="1"/>
        <v>17150779.709390137</v>
      </c>
      <c r="L31" s="71">
        <f t="shared" si="1"/>
        <v>17150779.709390137</v>
      </c>
    </row>
    <row r="32" spans="1:12" s="1" customFormat="1">
      <c r="B32" s="1" t="s">
        <v>151</v>
      </c>
      <c r="C32" s="3">
        <v>1247191</v>
      </c>
      <c r="D32" s="3">
        <v>403487</v>
      </c>
      <c r="E32" s="3">
        <v>2550820</v>
      </c>
      <c r="F32" s="3">
        <v>1943970</v>
      </c>
      <c r="G32" s="3">
        <v>2046291</v>
      </c>
      <c r="H32" s="71">
        <f t="shared" si="1"/>
        <v>3193626.4534784551</v>
      </c>
      <c r="I32" s="71">
        <f t="shared" si="1"/>
        <v>3193626.4534784551</v>
      </c>
      <c r="J32" s="71">
        <f t="shared" si="1"/>
        <v>3193626.4534784551</v>
      </c>
      <c r="K32" s="71">
        <f t="shared" si="1"/>
        <v>3193626.4534784551</v>
      </c>
      <c r="L32" s="71">
        <f t="shared" si="1"/>
        <v>3193626.4534784551</v>
      </c>
    </row>
    <row r="33" spans="2:12">
      <c r="B33" s="115"/>
      <c r="C33" s="116">
        <f>SUM(C31:C32)</f>
        <v>4875936</v>
      </c>
      <c r="D33" s="116">
        <f>SUM(D31:D32)</f>
        <v>7264617</v>
      </c>
      <c r="E33" s="116">
        <f>SUM(E31:E32)</f>
        <v>10764798</v>
      </c>
      <c r="F33" s="116">
        <f>SUM(F31:F32)</f>
        <v>16340086</v>
      </c>
      <c r="G33" s="116">
        <f>SUM(G31:G32)</f>
        <v>17395192</v>
      </c>
      <c r="H33" s="117">
        <f>H17</f>
        <v>20344406.162868593</v>
      </c>
      <c r="I33" s="117">
        <f>I17</f>
        <v>20344406.162868593</v>
      </c>
      <c r="J33" s="117">
        <f>J17</f>
        <v>20344406.162868593</v>
      </c>
      <c r="K33" s="117">
        <f>K17</f>
        <v>20344406.162868593</v>
      </c>
      <c r="L33" s="117">
        <f>L17</f>
        <v>20344406.162868593</v>
      </c>
    </row>
    <row r="35" spans="2:12">
      <c r="B35" s="6" t="s">
        <v>345</v>
      </c>
    </row>
    <row r="36" spans="2:12">
      <c r="B36" s="1" t="s">
        <v>143</v>
      </c>
      <c r="C36" s="118">
        <f t="shared" ref="C36:G37" si="2">C31/C$33</f>
        <v>0.74421505942653887</v>
      </c>
      <c r="D36" s="118">
        <f t="shared" si="2"/>
        <v>0.94445859981331437</v>
      </c>
      <c r="E36" s="118">
        <f t="shared" si="2"/>
        <v>0.76304060698584408</v>
      </c>
      <c r="F36" s="118">
        <f t="shared" si="2"/>
        <v>0.88103061391476156</v>
      </c>
      <c r="G36" s="118">
        <f t="shared" si="2"/>
        <v>0.88236456372542482</v>
      </c>
      <c r="H36" s="118">
        <f>AVERAGE($C36:$G36)</f>
        <v>0.84302188877317674</v>
      </c>
      <c r="I36" s="118">
        <f t="shared" ref="I36:L37" si="3">AVERAGE($C36:$G36)</f>
        <v>0.84302188877317674</v>
      </c>
      <c r="J36" s="118">
        <f t="shared" si="3"/>
        <v>0.84302188877317674</v>
      </c>
      <c r="K36" s="118">
        <f t="shared" si="3"/>
        <v>0.84302188877317674</v>
      </c>
      <c r="L36" s="118">
        <f t="shared" si="3"/>
        <v>0.84302188877317674</v>
      </c>
    </row>
    <row r="37" spans="2:12">
      <c r="B37" s="1" t="s">
        <v>151</v>
      </c>
      <c r="C37" s="118">
        <f t="shared" si="2"/>
        <v>0.25578494057346118</v>
      </c>
      <c r="D37" s="118">
        <f t="shared" si="2"/>
        <v>5.5541400186685685E-2</v>
      </c>
      <c r="E37" s="118">
        <f t="shared" si="2"/>
        <v>0.23695939301415594</v>
      </c>
      <c r="F37" s="118">
        <f t="shared" si="2"/>
        <v>0.11896938608523848</v>
      </c>
      <c r="G37" s="118">
        <f t="shared" si="2"/>
        <v>0.11763543627457518</v>
      </c>
      <c r="H37" s="118">
        <f>AVERAGE($C37:$G37)</f>
        <v>0.15697811122682329</v>
      </c>
      <c r="I37" s="118">
        <f t="shared" si="3"/>
        <v>0.15697811122682329</v>
      </c>
      <c r="J37" s="118">
        <f t="shared" si="3"/>
        <v>0.15697811122682329</v>
      </c>
      <c r="K37" s="118">
        <f t="shared" si="3"/>
        <v>0.15697811122682329</v>
      </c>
      <c r="L37" s="118">
        <f>AVERAGE($C37:$G37)</f>
        <v>0.15697811122682329</v>
      </c>
    </row>
  </sheetData>
  <mergeCells count="4">
    <mergeCell ref="C15:L15"/>
    <mergeCell ref="C23:L23"/>
    <mergeCell ref="C9:L9"/>
    <mergeCell ref="C30:L30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D39E7-D5BD-433E-85B5-028BCB7CA27E}">
  <dimension ref="B1:L29"/>
  <sheetViews>
    <sheetView workbookViewId="0">
      <selection activeCell="E24" sqref="E24"/>
    </sheetView>
  </sheetViews>
  <sheetFormatPr defaultRowHeight="12"/>
  <cols>
    <col min="1" max="1" width="2" style="1" customWidth="1"/>
    <col min="2" max="2" width="19.140625" style="1" customWidth="1"/>
    <col min="3" max="12" width="13.7109375" style="1" customWidth="1"/>
    <col min="13" max="16384" width="9.140625" style="1"/>
  </cols>
  <sheetData>
    <row r="1" spans="2:12" ht="15.75">
      <c r="B1" s="2" t="s">
        <v>141</v>
      </c>
    </row>
    <row r="3" spans="2:12">
      <c r="B3" s="6" t="s">
        <v>346</v>
      </c>
    </row>
    <row r="5" spans="2:12">
      <c r="B5" s="11"/>
      <c r="C5" s="44" t="s">
        <v>101</v>
      </c>
      <c r="D5" s="44" t="s">
        <v>102</v>
      </c>
      <c r="E5" s="44" t="s">
        <v>103</v>
      </c>
      <c r="F5" s="44" t="s">
        <v>104</v>
      </c>
      <c r="G5" s="44" t="s">
        <v>105</v>
      </c>
      <c r="H5" s="44" t="s">
        <v>106</v>
      </c>
      <c r="I5" s="44" t="s">
        <v>107</v>
      </c>
      <c r="J5" s="44" t="s">
        <v>108</v>
      </c>
      <c r="K5" s="44" t="s">
        <v>109</v>
      </c>
      <c r="L5" s="44" t="s">
        <v>110</v>
      </c>
    </row>
    <row r="6" spans="2:12" ht="15.75" customHeight="1" thickBot="1">
      <c r="B6" s="17" t="s">
        <v>347</v>
      </c>
      <c r="C6" s="270" t="s">
        <v>72</v>
      </c>
      <c r="D6" s="270"/>
      <c r="E6" s="270"/>
      <c r="F6" s="270"/>
      <c r="G6" s="270"/>
      <c r="H6" s="270"/>
      <c r="I6" s="270"/>
      <c r="J6" s="270"/>
      <c r="K6" s="270"/>
      <c r="L6" s="270"/>
    </row>
    <row r="7" spans="2:12">
      <c r="B7" s="1" t="s">
        <v>348</v>
      </c>
      <c r="C7" s="20"/>
      <c r="D7" s="20"/>
      <c r="E7" s="20"/>
      <c r="F7" s="20"/>
      <c r="G7" s="20"/>
      <c r="H7" s="20">
        <f>G11</f>
        <v>43806406</v>
      </c>
      <c r="I7" s="20">
        <f>H11</f>
        <v>58941245.051170252</v>
      </c>
      <c r="J7" s="20">
        <f>I11</f>
        <v>113137390.59193988</v>
      </c>
      <c r="K7" s="20">
        <f>J11</f>
        <v>181344324.43591151</v>
      </c>
      <c r="L7" s="20">
        <f>K11</f>
        <v>263075358.3973226</v>
      </c>
    </row>
    <row r="8" spans="2:12">
      <c r="B8" s="1" t="s">
        <v>273</v>
      </c>
      <c r="C8" s="20"/>
      <c r="D8" s="20"/>
      <c r="E8" s="20"/>
      <c r="F8" s="20"/>
      <c r="G8" s="20"/>
      <c r="H8" s="20">
        <f>'Income Statement'!H23</f>
        <v>16767470.90508179</v>
      </c>
      <c r="I8" s="20">
        <f>'Income Statement'!I23</f>
        <v>67323217.425962031</v>
      </c>
      <c r="J8" s="20">
        <f>'Income Statement'!J23</f>
        <v>85889219.827812195</v>
      </c>
      <c r="K8" s="20">
        <f>'Income Statement'!K23</f>
        <v>103008333.90052035</v>
      </c>
      <c r="L8" s="20">
        <f>'Income Statement'!L23</f>
        <v>114837673.82543364</v>
      </c>
    </row>
    <row r="9" spans="2:12">
      <c r="B9" s="1" t="s">
        <v>349</v>
      </c>
      <c r="C9" s="20"/>
      <c r="D9" s="20"/>
      <c r="E9" s="20"/>
      <c r="F9" s="20"/>
      <c r="G9" s="20"/>
      <c r="H9" s="20">
        <f>Financing!H26</f>
        <v>1684882.9852064578</v>
      </c>
      <c r="I9" s="20">
        <f>Financing!I26</f>
        <v>0</v>
      </c>
      <c r="J9" s="20">
        <f>Financing!J26</f>
        <v>0</v>
      </c>
      <c r="K9" s="20">
        <f>Financing!K26</f>
        <v>0</v>
      </c>
      <c r="L9" s="20">
        <f>Financing!L26</f>
        <v>0</v>
      </c>
    </row>
    <row r="10" spans="2:12">
      <c r="B10" s="1" t="s">
        <v>30</v>
      </c>
      <c r="C10" s="20"/>
      <c r="D10" s="20"/>
      <c r="E10" s="20"/>
      <c r="F10" s="20"/>
      <c r="G10" s="20"/>
      <c r="H10" s="20">
        <f>-Div!H5</f>
        <v>-3317514.8391179936</v>
      </c>
      <c r="I10" s="20">
        <f>-Div!I5</f>
        <v>-13127071.885192407</v>
      </c>
      <c r="J10" s="20">
        <f>-Div!J5</f>
        <v>-17682285.983840559</v>
      </c>
      <c r="K10" s="20">
        <f>-Div!K5</f>
        <v>-21277299.939109273</v>
      </c>
      <c r="L10" s="20">
        <f>-Div!L5</f>
        <v>-23761461.323341064</v>
      </c>
    </row>
    <row r="11" spans="2:12" ht="12.75" thickBot="1">
      <c r="B11" s="7" t="s">
        <v>347</v>
      </c>
      <c r="C11" s="46"/>
      <c r="D11" s="46"/>
      <c r="E11" s="46"/>
      <c r="F11" s="46"/>
      <c r="G11" s="46">
        <f>'Financial Position'!G36</f>
        <v>43806406</v>
      </c>
      <c r="H11" s="46">
        <f>SUM(H7:H10)</f>
        <v>58941245.051170252</v>
      </c>
      <c r="I11" s="46">
        <f>SUM(I7:I10)</f>
        <v>113137390.59193988</v>
      </c>
      <c r="J11" s="46">
        <f>SUM(J7:J10)</f>
        <v>181344324.43591151</v>
      </c>
      <c r="K11" s="46">
        <f>SUM(K7:K10)</f>
        <v>263075358.3973226</v>
      </c>
      <c r="L11" s="46">
        <f>SUM(L7:L10)</f>
        <v>354151570.89941519</v>
      </c>
    </row>
    <row r="13" spans="2:12">
      <c r="B13" s="6" t="s">
        <v>350</v>
      </c>
    </row>
    <row r="15" spans="2:12">
      <c r="B15" s="11"/>
      <c r="C15" s="44" t="s">
        <v>101</v>
      </c>
      <c r="D15" s="44" t="s">
        <v>102</v>
      </c>
      <c r="E15" s="44" t="s">
        <v>103</v>
      </c>
      <c r="F15" s="44" t="s">
        <v>104</v>
      </c>
      <c r="G15" s="44" t="s">
        <v>105</v>
      </c>
      <c r="H15" s="44" t="s">
        <v>106</v>
      </c>
      <c r="I15" s="44" t="s">
        <v>107</v>
      </c>
      <c r="J15" s="44" t="s">
        <v>108</v>
      </c>
      <c r="K15" s="44" t="s">
        <v>109</v>
      </c>
      <c r="L15" s="44" t="s">
        <v>110</v>
      </c>
    </row>
    <row r="16" spans="2:12" ht="15.75" customHeight="1" thickBot="1">
      <c r="B16" s="112" t="s">
        <v>351</v>
      </c>
      <c r="C16" s="270" t="s">
        <v>72</v>
      </c>
      <c r="D16" s="270"/>
      <c r="E16" s="270"/>
      <c r="F16" s="270"/>
      <c r="G16" s="270"/>
      <c r="H16" s="270"/>
      <c r="I16" s="270"/>
      <c r="J16" s="270"/>
      <c r="K16" s="270"/>
      <c r="L16" s="270"/>
    </row>
    <row r="17" spans="2:12">
      <c r="B17" s="1" t="s">
        <v>348</v>
      </c>
      <c r="H17" s="20">
        <f t="shared" ref="H17:L18" si="0">H7</f>
        <v>43806406</v>
      </c>
      <c r="I17" s="20">
        <f t="shared" si="0"/>
        <v>58941245.051170252</v>
      </c>
      <c r="J17" s="20">
        <f t="shared" si="0"/>
        <v>113137390.59193988</v>
      </c>
      <c r="K17" s="20">
        <f t="shared" si="0"/>
        <v>181344324.43591151</v>
      </c>
      <c r="L17" s="20">
        <f t="shared" si="0"/>
        <v>263075358.3973226</v>
      </c>
    </row>
    <row r="18" spans="2:12">
      <c r="B18" s="1" t="s">
        <v>273</v>
      </c>
      <c r="H18" s="20">
        <f t="shared" si="0"/>
        <v>16767470.90508179</v>
      </c>
      <c r="I18" s="20">
        <f t="shared" si="0"/>
        <v>67323217.425962031</v>
      </c>
      <c r="J18" s="20">
        <f t="shared" si="0"/>
        <v>85889219.827812195</v>
      </c>
      <c r="K18" s="20">
        <f t="shared" si="0"/>
        <v>103008333.90052035</v>
      </c>
      <c r="L18" s="20">
        <f t="shared" si="0"/>
        <v>114837673.82543364</v>
      </c>
    </row>
    <row r="19" spans="2:12">
      <c r="B19" s="1" t="s">
        <v>352</v>
      </c>
      <c r="H19" s="20">
        <f>H10</f>
        <v>-3317514.8391179936</v>
      </c>
      <c r="I19" s="20">
        <f>I10</f>
        <v>-13127071.885192407</v>
      </c>
      <c r="J19" s="20">
        <f>J10</f>
        <v>-17682285.983840559</v>
      </c>
      <c r="K19" s="20">
        <f>K10</f>
        <v>-21277299.939109273</v>
      </c>
      <c r="L19" s="20">
        <f>L10</f>
        <v>-23761461.323341064</v>
      </c>
    </row>
    <row r="20" spans="2:12">
      <c r="B20" s="1" t="s">
        <v>347</v>
      </c>
      <c r="H20" s="20">
        <f>-H11</f>
        <v>-58941245.051170252</v>
      </c>
      <c r="I20" s="20">
        <f>-I11</f>
        <v>-113137390.59193988</v>
      </c>
      <c r="J20" s="20">
        <f>-J11</f>
        <v>-181344324.43591151</v>
      </c>
      <c r="K20" s="20">
        <f>-K11</f>
        <v>-263075358.3973226</v>
      </c>
      <c r="L20" s="20">
        <f>-L11</f>
        <v>-354151570.89941519</v>
      </c>
    </row>
    <row r="21" spans="2:12" ht="12.75" thickBot="1">
      <c r="B21" s="7" t="s">
        <v>351</v>
      </c>
      <c r="C21" s="46"/>
      <c r="D21" s="46"/>
      <c r="E21" s="46"/>
      <c r="F21" s="46"/>
      <c r="G21" s="46"/>
      <c r="H21" s="46">
        <f>SUM(H17:H20)</f>
        <v>-1684882.985206455</v>
      </c>
      <c r="I21" s="46">
        <f>SUM(I17:I20)</f>
        <v>0</v>
      </c>
      <c r="J21" s="46">
        <f>SUM(J17:J20)</f>
        <v>0</v>
      </c>
      <c r="K21" s="46">
        <f>SUM(K17:K20)</f>
        <v>0</v>
      </c>
      <c r="L21" s="46">
        <f>SUM(L17:L20)</f>
        <v>0</v>
      </c>
    </row>
    <row r="24" spans="2:12">
      <c r="H24" s="20"/>
      <c r="I24" s="20"/>
      <c r="J24" s="20"/>
      <c r="K24" s="20"/>
      <c r="L24" s="20"/>
    </row>
    <row r="25" spans="2:12">
      <c r="H25" s="20"/>
      <c r="I25" s="20"/>
      <c r="J25" s="20"/>
      <c r="K25" s="20"/>
      <c r="L25" s="20"/>
    </row>
    <row r="26" spans="2:12">
      <c r="H26" s="20"/>
      <c r="I26" s="20"/>
      <c r="J26" s="20"/>
      <c r="K26" s="20"/>
      <c r="L26" s="20"/>
    </row>
    <row r="27" spans="2:12">
      <c r="H27" s="20"/>
      <c r="I27" s="20"/>
      <c r="J27" s="20"/>
      <c r="K27" s="20"/>
      <c r="L27" s="20"/>
    </row>
    <row r="28" spans="2:12">
      <c r="H28" s="20"/>
      <c r="I28" s="20"/>
      <c r="J28" s="20"/>
      <c r="K28" s="20"/>
      <c r="L28" s="20"/>
    </row>
    <row r="29" spans="2:12">
      <c r="H29" s="20"/>
      <c r="I29" s="20"/>
      <c r="J29" s="20"/>
      <c r="K29" s="20"/>
      <c r="L29" s="20"/>
    </row>
  </sheetData>
  <mergeCells count="2">
    <mergeCell ref="C6:L6"/>
    <mergeCell ref="C16:L16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A6311-8E6F-4E39-A07A-3EE6B748F48F}">
  <dimension ref="B1:L24"/>
  <sheetViews>
    <sheetView workbookViewId="0">
      <selection activeCell="C6" sqref="C6"/>
    </sheetView>
  </sheetViews>
  <sheetFormatPr defaultRowHeight="12"/>
  <cols>
    <col min="1" max="1" width="2" style="1" customWidth="1"/>
    <col min="2" max="2" width="28.42578125" style="1" bestFit="1" customWidth="1"/>
    <col min="3" max="11" width="11.7109375" style="1" customWidth="1"/>
    <col min="12" max="12" width="13.5703125" style="1" bestFit="1" customWidth="1"/>
    <col min="13" max="16384" width="9.140625" style="1"/>
  </cols>
  <sheetData>
    <row r="1" spans="2:12" ht="15.75">
      <c r="B1" s="145" t="s">
        <v>36</v>
      </c>
      <c r="C1" s="149"/>
      <c r="D1" s="152"/>
      <c r="E1" s="152"/>
      <c r="F1" s="152"/>
      <c r="G1" s="152"/>
      <c r="H1" s="152"/>
      <c r="I1" s="152"/>
      <c r="J1" s="152"/>
      <c r="K1" s="152"/>
      <c r="L1" s="152"/>
    </row>
    <row r="4" spans="2:12">
      <c r="B4" s="146" t="s">
        <v>353</v>
      </c>
      <c r="C4" s="147">
        <f>Drivers!C7</f>
        <v>0.15648999999999999</v>
      </c>
      <c r="D4" s="152"/>
      <c r="E4" s="152"/>
      <c r="F4" s="152"/>
      <c r="G4" s="152"/>
      <c r="H4" s="152"/>
      <c r="I4" s="152"/>
      <c r="J4" s="152"/>
      <c r="K4" s="152"/>
      <c r="L4" s="152"/>
    </row>
    <row r="5" spans="2:12">
      <c r="B5" s="146" t="s">
        <v>48</v>
      </c>
      <c r="C5" s="147">
        <f>Drivers!C8</f>
        <v>0.08</v>
      </c>
      <c r="D5" s="152"/>
      <c r="E5" s="152"/>
      <c r="F5" s="152"/>
      <c r="G5" s="152"/>
      <c r="H5" s="152"/>
      <c r="I5" s="152"/>
      <c r="J5" s="152"/>
      <c r="K5" s="152"/>
      <c r="L5" s="152"/>
    </row>
    <row r="6" spans="2:12">
      <c r="B6" s="146" t="s">
        <v>354</v>
      </c>
      <c r="C6" s="146">
        <f>Drivers!C9</f>
        <v>0.99</v>
      </c>
      <c r="D6" s="152"/>
      <c r="E6" s="152"/>
      <c r="F6" s="152"/>
      <c r="G6" s="152"/>
      <c r="H6" s="152"/>
      <c r="I6" s="152"/>
      <c r="J6" s="152"/>
      <c r="K6" s="152"/>
      <c r="L6" s="152"/>
    </row>
    <row r="7" spans="2:12">
      <c r="B7" s="146" t="s">
        <v>355</v>
      </c>
      <c r="C7" s="148">
        <f>Drivers!C11</f>
        <v>0.3</v>
      </c>
      <c r="D7" s="152"/>
      <c r="E7" s="152"/>
      <c r="F7" s="152"/>
      <c r="G7" s="152"/>
      <c r="H7" s="152"/>
      <c r="I7" s="152"/>
      <c r="J7" s="152"/>
      <c r="K7" s="152"/>
      <c r="L7" s="152"/>
    </row>
    <row r="9" spans="2:12">
      <c r="B9" s="149" t="s">
        <v>356</v>
      </c>
      <c r="C9" s="150">
        <f>C4+C6*C5</f>
        <v>0.23569000000000001</v>
      </c>
      <c r="D9" s="152"/>
      <c r="E9" s="152"/>
      <c r="F9" s="152"/>
      <c r="G9" s="152"/>
      <c r="H9" s="152"/>
      <c r="I9" s="152"/>
      <c r="J9" s="152"/>
      <c r="K9" s="152"/>
      <c r="L9" s="152"/>
    </row>
    <row r="10" spans="2:12">
      <c r="B10" s="149" t="s">
        <v>357</v>
      </c>
      <c r="C10" s="150">
        <f>Drivers!C6</f>
        <v>0.16489999999999999</v>
      </c>
      <c r="D10" s="152"/>
      <c r="E10" s="152"/>
      <c r="F10" s="152"/>
      <c r="G10" s="152"/>
      <c r="H10" s="152"/>
      <c r="I10" s="152"/>
      <c r="J10" s="152"/>
      <c r="K10" s="152"/>
      <c r="L10" s="152"/>
    </row>
    <row r="12" spans="2:12">
      <c r="B12" s="11"/>
      <c r="C12" s="44" t="s">
        <v>101</v>
      </c>
      <c r="D12" s="44" t="s">
        <v>102</v>
      </c>
      <c r="E12" s="44" t="s">
        <v>103</v>
      </c>
      <c r="F12" s="44" t="s">
        <v>104</v>
      </c>
      <c r="G12" s="44" t="s">
        <v>105</v>
      </c>
      <c r="H12" s="44" t="s">
        <v>106</v>
      </c>
      <c r="I12" s="44" t="s">
        <v>107</v>
      </c>
      <c r="J12" s="44" t="s">
        <v>108</v>
      </c>
      <c r="K12" s="44" t="s">
        <v>109</v>
      </c>
      <c r="L12" s="44" t="s">
        <v>110</v>
      </c>
    </row>
    <row r="13" spans="2:12" ht="15.75" customHeight="1" thickBot="1">
      <c r="B13" s="17"/>
      <c r="C13" s="270" t="s">
        <v>72</v>
      </c>
      <c r="D13" s="270"/>
      <c r="E13" s="270"/>
      <c r="F13" s="270"/>
      <c r="G13" s="270"/>
      <c r="H13" s="270"/>
      <c r="I13" s="270"/>
      <c r="J13" s="270"/>
      <c r="K13" s="270"/>
      <c r="L13" s="270"/>
    </row>
    <row r="14" spans="2:12" s="153" customFormat="1">
      <c r="B14" s="154" t="s">
        <v>336</v>
      </c>
      <c r="C14" s="52">
        <f>'Financial Position'!C38</f>
        <v>3628745</v>
      </c>
      <c r="D14" s="52">
        <f>'Financial Position'!D38</f>
        <v>6861130</v>
      </c>
      <c r="E14" s="52">
        <f>'Financial Position'!E38</f>
        <v>8213978</v>
      </c>
      <c r="F14" s="52">
        <f>'Financial Position'!F38</f>
        <v>14396116</v>
      </c>
      <c r="G14" s="52">
        <f>'Financial Position'!G38</f>
        <v>15348901</v>
      </c>
      <c r="H14" s="52">
        <f>'Financial Position'!H51</f>
        <v>117496321.98004925</v>
      </c>
      <c r="I14" s="52">
        <f>'Financial Position'!I51</f>
        <v>204076075.36648887</v>
      </c>
      <c r="J14" s="52">
        <f>'Financial Position'!J51</f>
        <v>299233778.63562727</v>
      </c>
      <c r="K14" s="52">
        <f>'Financial Position'!K51</f>
        <v>442735001.0225451</v>
      </c>
      <c r="L14" s="52">
        <f>'Financial Position'!L51</f>
        <v>661030668.5168612</v>
      </c>
    </row>
    <row r="15" spans="2:12" s="20" customFormat="1">
      <c r="B15" s="155" t="s">
        <v>141</v>
      </c>
      <c r="C15" s="156">
        <f>'Financial Position'!C36</f>
        <v>17879784</v>
      </c>
      <c r="D15" s="156">
        <f>'Financial Position'!D36</f>
        <v>17279692</v>
      </c>
      <c r="E15" s="156">
        <f>'Financial Position'!E36</f>
        <v>20514612</v>
      </c>
      <c r="F15" s="156">
        <f>'Financial Position'!F36</f>
        <v>29940270</v>
      </c>
      <c r="G15" s="156">
        <f>'Financial Position'!G36</f>
        <v>43806406</v>
      </c>
      <c r="H15" s="156">
        <f>'Financial Position'!H36</f>
        <v>58941245.051170252</v>
      </c>
      <c r="I15" s="156">
        <f>'Financial Position'!I36</f>
        <v>113137390.59193988</v>
      </c>
      <c r="J15" s="156">
        <f>'Financial Position'!J36</f>
        <v>181344324.43591151</v>
      </c>
      <c r="K15" s="156">
        <f>'Financial Position'!K36</f>
        <v>263075358.3973226</v>
      </c>
      <c r="L15" s="156">
        <f>'Financial Position'!L36</f>
        <v>354151570.89941519</v>
      </c>
    </row>
    <row r="16" spans="2:12" s="20" customFormat="1">
      <c r="B16" s="159"/>
      <c r="C16" s="159">
        <f>SUM(C14:C15)</f>
        <v>21508529</v>
      </c>
      <c r="D16" s="159">
        <f t="shared" ref="D16:L16" si="0">SUM(D14:D15)</f>
        <v>24140822</v>
      </c>
      <c r="E16" s="159">
        <f t="shared" si="0"/>
        <v>28728590</v>
      </c>
      <c r="F16" s="159">
        <f t="shared" si="0"/>
        <v>44336386</v>
      </c>
      <c r="G16" s="159">
        <f t="shared" si="0"/>
        <v>59155307</v>
      </c>
      <c r="H16" s="159">
        <f t="shared" si="0"/>
        <v>176437567.03121951</v>
      </c>
      <c r="I16" s="159">
        <f t="shared" si="0"/>
        <v>317213465.95842874</v>
      </c>
      <c r="J16" s="159">
        <f t="shared" si="0"/>
        <v>480578103.07153881</v>
      </c>
      <c r="K16" s="159">
        <f t="shared" si="0"/>
        <v>705810359.41986775</v>
      </c>
      <c r="L16" s="159">
        <f t="shared" si="0"/>
        <v>1015182239.4162765</v>
      </c>
    </row>
    <row r="17" spans="2:12" s="20" customFormat="1">
      <c r="B17" s="157"/>
      <c r="C17" s="157"/>
      <c r="D17" s="157"/>
      <c r="E17" s="157"/>
      <c r="F17" s="157"/>
      <c r="G17" s="157"/>
      <c r="H17" s="155"/>
      <c r="I17" s="155"/>
      <c r="J17" s="155"/>
      <c r="K17" s="155"/>
      <c r="L17" s="155"/>
    </row>
    <row r="18" spans="2:12" s="20" customFormat="1">
      <c r="B18" s="155" t="s">
        <v>358</v>
      </c>
      <c r="C18" s="160">
        <f>C14/C$16</f>
        <v>0.1687119095871224</v>
      </c>
      <c r="D18" s="160">
        <f t="shared" ref="D18:L18" si="1">D14/D$16</f>
        <v>0.28421277452772736</v>
      </c>
      <c r="E18" s="160">
        <f t="shared" si="1"/>
        <v>0.28591650338565172</v>
      </c>
      <c r="F18" s="160">
        <f t="shared" si="1"/>
        <v>0.32470206299629384</v>
      </c>
      <c r="G18" s="160">
        <f t="shared" si="1"/>
        <v>0.25946786143802786</v>
      </c>
      <c r="H18" s="160">
        <f t="shared" si="1"/>
        <v>0.66593710147487484</v>
      </c>
      <c r="I18" s="160">
        <f t="shared" si="1"/>
        <v>0.64333988706908596</v>
      </c>
      <c r="J18" s="160">
        <f t="shared" si="1"/>
        <v>0.62265379284474676</v>
      </c>
      <c r="K18" s="160">
        <f t="shared" si="1"/>
        <v>0.62727189409127648</v>
      </c>
      <c r="L18" s="160">
        <f t="shared" si="1"/>
        <v>0.6511448317860149</v>
      </c>
    </row>
    <row r="19" spans="2:12" s="20" customFormat="1">
      <c r="B19" s="155" t="s">
        <v>359</v>
      </c>
      <c r="C19" s="160">
        <f t="shared" ref="C19:L19" si="2">C15/C$16</f>
        <v>0.83128809041287766</v>
      </c>
      <c r="D19" s="160">
        <f t="shared" si="2"/>
        <v>0.71578722547227269</v>
      </c>
      <c r="E19" s="160">
        <f t="shared" si="2"/>
        <v>0.71408349661434833</v>
      </c>
      <c r="F19" s="160">
        <f t="shared" si="2"/>
        <v>0.67529793700370622</v>
      </c>
      <c r="G19" s="160">
        <f t="shared" si="2"/>
        <v>0.74053213856197209</v>
      </c>
      <c r="H19" s="160">
        <f t="shared" si="2"/>
        <v>0.33406289852512516</v>
      </c>
      <c r="I19" s="160">
        <f t="shared" si="2"/>
        <v>0.35666011293091415</v>
      </c>
      <c r="J19" s="160">
        <f t="shared" si="2"/>
        <v>0.37734620715525319</v>
      </c>
      <c r="K19" s="160">
        <f t="shared" si="2"/>
        <v>0.37272810590872341</v>
      </c>
      <c r="L19" s="160">
        <f t="shared" si="2"/>
        <v>0.3488551682139851</v>
      </c>
    </row>
    <row r="20" spans="2:12" s="20" customFormat="1">
      <c r="B20" s="155"/>
      <c r="C20" s="160"/>
      <c r="D20" s="160"/>
      <c r="E20" s="160"/>
      <c r="F20" s="160"/>
      <c r="G20" s="160"/>
      <c r="H20" s="160"/>
      <c r="I20" s="160"/>
      <c r="J20" s="160"/>
      <c r="K20" s="160"/>
      <c r="L20" s="160"/>
    </row>
    <row r="21" spans="2:12" s="20" customFormat="1">
      <c r="B21" s="155" t="s">
        <v>360</v>
      </c>
      <c r="C21" s="155"/>
      <c r="D21" s="155"/>
      <c r="E21" s="155"/>
      <c r="F21" s="155"/>
      <c r="G21" s="155"/>
      <c r="H21" s="151">
        <f>$C$10</f>
        <v>0.16489999999999999</v>
      </c>
      <c r="I21" s="151">
        <f>$C$10</f>
        <v>0.16489999999999999</v>
      </c>
      <c r="J21" s="151">
        <f>$C$10</f>
        <v>0.16489999999999999</v>
      </c>
      <c r="K21" s="151">
        <f>$C$10</f>
        <v>0.16489999999999999</v>
      </c>
      <c r="L21" s="151">
        <f>$C$10</f>
        <v>0.16489999999999999</v>
      </c>
    </row>
    <row r="22" spans="2:12" s="20" customFormat="1">
      <c r="B22" s="155" t="s">
        <v>356</v>
      </c>
      <c r="C22" s="155"/>
      <c r="D22" s="155"/>
      <c r="E22" s="155"/>
      <c r="F22" s="155"/>
      <c r="G22" s="155"/>
      <c r="H22" s="151">
        <f>$C$9</f>
        <v>0.23569000000000001</v>
      </c>
      <c r="I22" s="151">
        <f>$C$9</f>
        <v>0.23569000000000001</v>
      </c>
      <c r="J22" s="151">
        <f>$C$9</f>
        <v>0.23569000000000001</v>
      </c>
      <c r="K22" s="151">
        <f>$C$9</f>
        <v>0.23569000000000001</v>
      </c>
      <c r="L22" s="151">
        <f>$C$9</f>
        <v>0.23569000000000001</v>
      </c>
    </row>
    <row r="23" spans="2:12" s="20" customFormat="1">
      <c r="B23" s="157"/>
      <c r="C23" s="157"/>
      <c r="D23" s="157"/>
      <c r="E23" s="157"/>
      <c r="F23" s="157"/>
      <c r="G23" s="155"/>
      <c r="H23" s="155"/>
      <c r="I23" s="155"/>
      <c r="J23" s="155"/>
      <c r="K23" s="155"/>
      <c r="L23" s="155"/>
    </row>
    <row r="24" spans="2:12" s="20" customFormat="1" ht="12.75" thickBot="1">
      <c r="B24" s="158" t="s">
        <v>36</v>
      </c>
      <c r="C24" s="158"/>
      <c r="D24" s="158"/>
      <c r="E24" s="158"/>
      <c r="F24" s="158"/>
      <c r="G24" s="158"/>
      <c r="H24" s="161">
        <f>(H18*H21*(1-C7))+(H19*H22)</f>
        <v>0.15560440417663157</v>
      </c>
      <c r="I24" s="161">
        <f>(I18*I21*(1-D7))+(I19*I22)</f>
        <v>0.19014796939437945</v>
      </c>
      <c r="J24" s="161">
        <f>(J18*J21*(1-E7))+(J19*J22)</f>
        <v>0.19161233800452038</v>
      </c>
      <c r="K24" s="161">
        <f>(K18*K21*(1-F7))+(K19*K22)</f>
        <v>0.19128542261727852</v>
      </c>
      <c r="L24" s="161">
        <f>(L18*L21*(1-G7))+(L19*L22)</f>
        <v>0.18959545735786801</v>
      </c>
    </row>
  </sheetData>
  <mergeCells count="1">
    <mergeCell ref="C13:L1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A9194B-C83B-431B-9E9E-30F0D13BE48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HAFIZ MUHAMMAD USMAN</dc:creator>
  <cp:keywords/>
  <dc:description/>
  <cp:lastModifiedBy/>
  <cp:revision/>
  <dcterms:created xsi:type="dcterms:W3CDTF">2023-10-26T13:45:57Z</dcterms:created>
  <dcterms:modified xsi:type="dcterms:W3CDTF">2024-06-29T15:04:16Z</dcterms:modified>
  <cp:category/>
  <cp:contentStatus/>
</cp:coreProperties>
</file>